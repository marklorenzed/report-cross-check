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kl\Downloads\"/>
    </mc:Choice>
  </mc:AlternateContent>
  <xr:revisionPtr revIDLastSave="0" documentId="13_ncr:1_{4AE3B74D-5FCB-4EF0-AC67-1DE8C0E49509}" xr6:coauthVersionLast="47" xr6:coauthVersionMax="47" xr10:uidLastSave="{00000000-0000-0000-0000-000000000000}"/>
  <bookViews>
    <workbookView xWindow="4815" yWindow="1140" windowWidth="24390" windowHeight="18810" xr2:uid="{00000000-000D-0000-FFFF-FFFF00000000}"/>
  </bookViews>
  <sheets>
    <sheet name="September 2026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4" i="17" l="1"/>
  <c r="K153" i="17"/>
  <c r="K155" i="17" s="1"/>
  <c r="I153" i="17"/>
  <c r="I155" i="17" s="1"/>
  <c r="G153" i="17"/>
  <c r="G155" i="17" s="1"/>
  <c r="E153" i="17"/>
  <c r="E155" i="17" s="1"/>
  <c r="C153" i="17"/>
  <c r="C144" i="17"/>
  <c r="A143" i="17"/>
  <c r="K142" i="17"/>
  <c r="K144" i="17" s="1"/>
  <c r="I142" i="17"/>
  <c r="I144" i="17" s="1"/>
  <c r="G142" i="17"/>
  <c r="G144" i="17" s="1"/>
  <c r="E142" i="17"/>
  <c r="E144" i="17" s="1"/>
  <c r="C142" i="17"/>
  <c r="A132" i="17"/>
  <c r="K131" i="17"/>
  <c r="K133" i="17" s="1"/>
  <c r="I131" i="17"/>
  <c r="I133" i="17" s="1"/>
  <c r="G131" i="17"/>
  <c r="E131" i="17"/>
  <c r="E133" i="17" s="1"/>
  <c r="C131" i="17"/>
  <c r="C133" i="17" s="1"/>
  <c r="G122" i="17"/>
  <c r="C122" i="17"/>
  <c r="A121" i="17"/>
  <c r="K120" i="17"/>
  <c r="K122" i="17" s="1"/>
  <c r="I120" i="17"/>
  <c r="I122" i="17" s="1"/>
  <c r="G120" i="17"/>
  <c r="E120" i="17"/>
  <c r="E122" i="17" s="1"/>
  <c r="C120" i="17"/>
  <c r="A110" i="17"/>
  <c r="K109" i="17"/>
  <c r="K111" i="17" s="1"/>
  <c r="I109" i="17"/>
  <c r="I111" i="17" s="1"/>
  <c r="G109" i="17"/>
  <c r="G111" i="17" s="1"/>
  <c r="E109" i="17"/>
  <c r="E111" i="17" s="1"/>
  <c r="C109" i="17"/>
  <c r="C111" i="17" s="1"/>
  <c r="A99" i="17"/>
  <c r="K98" i="17"/>
  <c r="K100" i="17" s="1"/>
  <c r="I98" i="17"/>
  <c r="I100" i="17" s="1"/>
  <c r="G98" i="17"/>
  <c r="G100" i="17" s="1"/>
  <c r="E98" i="17"/>
  <c r="E100" i="17" s="1"/>
  <c r="C98" i="17"/>
  <c r="A88" i="17"/>
  <c r="K87" i="17"/>
  <c r="K89" i="17" s="1"/>
  <c r="I87" i="17"/>
  <c r="I89" i="17" s="1"/>
  <c r="G87" i="17"/>
  <c r="G89" i="17" s="1"/>
  <c r="E87" i="17"/>
  <c r="E89" i="17" s="1"/>
  <c r="C87" i="17"/>
  <c r="A87" i="17" s="1"/>
  <c r="K78" i="17"/>
  <c r="A77" i="17"/>
  <c r="K76" i="17"/>
  <c r="I76" i="17"/>
  <c r="I78" i="17" s="1"/>
  <c r="G76" i="17"/>
  <c r="G78" i="17" s="1"/>
  <c r="E76" i="17"/>
  <c r="E78" i="17" s="1"/>
  <c r="C76" i="17"/>
  <c r="C78" i="17" s="1"/>
  <c r="A76" i="17"/>
  <c r="K67" i="17"/>
  <c r="I67" i="17"/>
  <c r="G67" i="17"/>
  <c r="A66" i="17"/>
  <c r="K65" i="17"/>
  <c r="I65" i="17"/>
  <c r="G65" i="17"/>
  <c r="E65" i="17"/>
  <c r="E67" i="17" s="1"/>
  <c r="C65" i="17"/>
  <c r="C67" i="17" s="1"/>
  <c r="A55" i="17"/>
  <c r="K54" i="17"/>
  <c r="I54" i="17"/>
  <c r="I56" i="17" s="1"/>
  <c r="G54" i="17"/>
  <c r="G56" i="17" s="1"/>
  <c r="E54" i="17"/>
  <c r="E56" i="17" s="1"/>
  <c r="C54" i="17"/>
  <c r="C56" i="17" s="1"/>
  <c r="A44" i="17"/>
  <c r="K43" i="17"/>
  <c r="K45" i="17" s="1"/>
  <c r="I43" i="17"/>
  <c r="I45" i="17" s="1"/>
  <c r="G43" i="17"/>
  <c r="G45" i="17" s="1"/>
  <c r="E43" i="17"/>
  <c r="E45" i="17" s="1"/>
  <c r="C43" i="17"/>
  <c r="A33" i="17"/>
  <c r="K32" i="17"/>
  <c r="K34" i="17" s="1"/>
  <c r="I32" i="17"/>
  <c r="I34" i="17" s="1"/>
  <c r="G32" i="17"/>
  <c r="G34" i="17" s="1"/>
  <c r="E32" i="17"/>
  <c r="E34" i="17" s="1"/>
  <c r="C32" i="17"/>
  <c r="C34" i="17" s="1"/>
  <c r="A22" i="17"/>
  <c r="K21" i="17"/>
  <c r="K23" i="17" s="1"/>
  <c r="I21" i="17"/>
  <c r="I23" i="17" s="1"/>
  <c r="G21" i="17"/>
  <c r="G23" i="17" s="1"/>
  <c r="E21" i="17"/>
  <c r="E23" i="17" s="1"/>
  <c r="C21" i="17"/>
  <c r="A11" i="17"/>
  <c r="K10" i="17"/>
  <c r="K12" i="17" s="1"/>
  <c r="I10" i="17"/>
  <c r="I12" i="17" s="1"/>
  <c r="G10" i="17"/>
  <c r="G12" i="17" s="1"/>
  <c r="E10" i="17"/>
  <c r="E12" i="17" s="1"/>
  <c r="C10" i="17"/>
  <c r="C12" i="17" s="1"/>
  <c r="A54" i="17" l="1"/>
  <c r="A98" i="17"/>
  <c r="A122" i="17"/>
  <c r="K56" i="17"/>
  <c r="A56" i="17" s="1"/>
  <c r="A131" i="17"/>
  <c r="A111" i="17"/>
  <c r="C100" i="17"/>
  <c r="A100" i="17" s="1"/>
  <c r="A120" i="17"/>
  <c r="C89" i="17"/>
  <c r="A89" i="17" s="1"/>
  <c r="A34" i="17"/>
  <c r="A109" i="17"/>
  <c r="A133" i="17"/>
  <c r="A65" i="17"/>
  <c r="A67" i="17"/>
  <c r="A12" i="17"/>
  <c r="A144" i="17"/>
  <c r="A21" i="17"/>
  <c r="A153" i="17"/>
  <c r="C45" i="17"/>
  <c r="A45" i="17" s="1"/>
  <c r="A43" i="17"/>
  <c r="A78" i="17"/>
  <c r="A10" i="17"/>
  <c r="A142" i="17"/>
  <c r="A32" i="17"/>
  <c r="C23" i="17"/>
  <c r="A23" i="17" s="1"/>
  <c r="G133" i="17"/>
  <c r="C155" i="17"/>
  <c r="A155" i="17" s="1"/>
</calcChain>
</file>

<file path=xl/sharedStrings.xml><?xml version="1.0" encoding="utf-8"?>
<sst xmlns="http://schemas.openxmlformats.org/spreadsheetml/2006/main" count="275" uniqueCount="19">
  <si>
    <t>DENTIST</t>
  </si>
  <si>
    <t>CASH</t>
  </si>
  <si>
    <t>GCASH</t>
  </si>
  <si>
    <t>BANK</t>
  </si>
  <si>
    <t>CC</t>
  </si>
  <si>
    <t>DC</t>
  </si>
  <si>
    <t>Dona</t>
  </si>
  <si>
    <t>Raphael</t>
  </si>
  <si>
    <t>Charity</t>
  </si>
  <si>
    <t>TOTAL</t>
  </si>
  <si>
    <t>EXPENSES</t>
  </si>
  <si>
    <t>END TOTAL</t>
  </si>
  <si>
    <t>✅</t>
  </si>
  <si>
    <t>Carl</t>
  </si>
  <si>
    <t xml:space="preserve"> </t>
  </si>
  <si>
    <t>Claire</t>
  </si>
  <si>
    <t>Yvette</t>
  </si>
  <si>
    <t>Dale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</si>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</sst>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d\,\ yyyy"/>
  </numFmts>
  <fonts count="4" x14ac:knownFonts="1">
    <font>
      <sz val="10"/>
      <color rgb="FF000000"/>
      <name val="Arial"/>
      <scheme val="minor"/>
    </font>
    <font>
      <sz val="12"/>
      <color theme="1"/>
      <name val="Roboto"/>
    </font>
    <font>
      <sz val="10"/>
      <color theme="1"/>
      <name val="Arial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" fontId="2" fillId="2" borderId="0" xfId="0" applyNumberFormat="1" applyFont="1" applyFill="1"/>
    <xf numFmtId="164" fontId="1" fillId="3" borderId="0" xfId="0" applyNumberFormat="1" applyFont="1" applyFill="1" applyAlignment="1">
      <alignment horizontal="center" vertical="center"/>
    </xf>
    <xf numFmtId="0" fontId="1" fillId="3" borderId="0" xfId="0" applyFont="1" applyFill="1"/>
    <xf numFmtId="4" fontId="1" fillId="3" borderId="0" xfId="0" applyNumberFormat="1" applyFont="1" applyFill="1"/>
    <xf numFmtId="0" fontId="1" fillId="4" borderId="0" xfId="0" applyFont="1" applyFill="1"/>
    <xf numFmtId="4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1" fillId="0" borderId="0" xfId="0" applyFont="1" applyAlignment="1">
      <alignment horizontal="center" vertical="center"/>
    </xf>
    <xf numFmtId="4" fontId="1" fillId="0" borderId="0" xfId="0" applyNumberFormat="1" applyFont="1"/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 vertical="center"/>
    </xf>
    <xf numFmtId="0" fontId="0" fillId="0" borderId="0" xfId="0"/>
    <xf numFmtId="164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1">
    <tableStyle name="November 2025-style" pivot="0" count="3" xr9:uid="{00000000-0011-0000-FFFF-FFFF00000000}">
      <tableStyleElement type="headerRow" dxfId="32"/>
      <tableStyleElement type="firstRowStripe" dxfId="31"/>
      <tableStyleElement type="secondRowStripe" dxfId="30"/>
    </tableStyle>
    <tableStyle name="December 2025-style" pivot="0" count="3" xr9:uid="{00000000-0011-0000-FFFF-FFFF01000000}">
      <tableStyleElement type="headerRow" dxfId="29"/>
      <tableStyleElement type="firstRowStripe" dxfId="28"/>
      <tableStyleElement type="secondRowStripe" dxfId="27"/>
    </tableStyle>
    <tableStyle name="January 2026-style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February 2026-style" pivot="0" count="3" xr9:uid="{00000000-0011-0000-FFFF-FFFF03000000}">
      <tableStyleElement type="headerRow" dxfId="23"/>
      <tableStyleElement type="firstRowStripe" dxfId="22"/>
      <tableStyleElement type="secondRowStripe" dxfId="21"/>
    </tableStyle>
    <tableStyle name="March 2026-style" pivot="0" count="3" xr9:uid="{00000000-0011-0000-FFFF-FFFF04000000}">
      <tableStyleElement type="headerRow" dxfId="20"/>
      <tableStyleElement type="firstRowStripe" dxfId="19"/>
      <tableStyleElement type="secondRowStripe" dxfId="18"/>
    </tableStyle>
    <tableStyle name="April 2026-style" pivot="0" count="3" xr9:uid="{00000000-0011-0000-FFFF-FFFF05000000}">
      <tableStyleElement type="headerRow" dxfId="17"/>
      <tableStyleElement type="firstRowStripe" dxfId="16"/>
      <tableStyleElement type="secondRowStripe" dxfId="15"/>
    </tableStyle>
    <tableStyle name="May 2026-style" pivot="0" count="3" xr9:uid="{00000000-0011-0000-FFFF-FFFF06000000}">
      <tableStyleElement type="headerRow" dxfId="14"/>
      <tableStyleElement type="firstRowStripe" dxfId="13"/>
      <tableStyleElement type="secondRowStripe" dxfId="12"/>
    </tableStyle>
    <tableStyle name="June 2026-style" pivot="0" count="3" xr9:uid="{00000000-0011-0000-FFFF-FFFF07000000}">
      <tableStyleElement type="headerRow" dxfId="11"/>
      <tableStyleElement type="firstRowStripe" dxfId="10"/>
      <tableStyleElement type="secondRowStripe" dxfId="9"/>
    </tableStyle>
    <tableStyle name="July 2026-style" pivot="0" count="3" xr9:uid="{00000000-0011-0000-FFFF-FFFF08000000}">
      <tableStyleElement type="headerRow" dxfId="8"/>
      <tableStyleElement type="firstRowStripe" dxfId="7"/>
      <tableStyleElement type="secondRowStripe" dxfId="6"/>
    </tableStyle>
    <tableStyle name="August 2026-style" pivot="0" count="3" xr9:uid="{00000000-0011-0000-FFFF-FFFF09000000}">
      <tableStyleElement type="headerRow" dxfId="5"/>
      <tableStyleElement type="firstRowStripe" dxfId="4"/>
      <tableStyleElement type="secondRowStripe" dxfId="3"/>
    </tableStyle>
    <tableStyle name="September 2026-style" pivot="0" count="3" xr9:uid="{00000000-0011-0000-FFFF-FFFF0A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L1" headerRowCount="0">
  <tableColumns count="12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</tableColumns>
  <tableStyleInfo name="September 202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23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9.5703125" customWidth="1"/>
    <col min="4" max="4" width="9.42578125" customWidth="1"/>
    <col min="6" max="6" width="5.42578125" customWidth="1"/>
    <col min="8" max="8" width="5.42578125" customWidth="1"/>
    <col min="10" max="10" width="5.42578125" customWidth="1"/>
    <col min="12" max="12" width="5.42578125" customWidth="1"/>
  </cols>
  <sheetData>
    <row r="1" spans="1:13" ht="15.75" customHeight="1" x14ac:dyDescent="0.25">
      <c r="A1" s="13" t="s">
        <v>14</v>
      </c>
      <c r="B1" s="14" t="s">
        <v>0</v>
      </c>
      <c r="C1" s="14" t="s">
        <v>1</v>
      </c>
      <c r="D1" s="1"/>
      <c r="E1" s="14" t="s">
        <v>2</v>
      </c>
      <c r="F1" s="1"/>
      <c r="G1" s="14" t="s">
        <v>3</v>
      </c>
      <c r="H1" s="1"/>
      <c r="I1" s="14" t="s">
        <v>4</v>
      </c>
      <c r="J1" s="1"/>
      <c r="K1" s="14" t="s">
        <v>5</v>
      </c>
      <c r="L1" s="1"/>
    </row>
    <row r="2" spans="1:13" ht="15.75" customHeight="1" x14ac:dyDescent="0.25">
      <c r="A2" s="21">
        <v>46266</v>
      </c>
      <c r="B2" s="4" t="s">
        <v>6</v>
      </c>
      <c r="C2" s="3">
        <v>0</v>
      </c>
      <c r="D2" s="11"/>
      <c r="E2" s="3">
        <v>0</v>
      </c>
      <c r="F2" s="11"/>
      <c r="G2" s="3">
        <v>0</v>
      </c>
      <c r="H2" s="3"/>
      <c r="I2" s="3">
        <v>0</v>
      </c>
      <c r="J2" s="3"/>
      <c r="K2" s="3">
        <v>0</v>
      </c>
      <c r="L2" s="3"/>
      <c r="M2" s="11"/>
    </row>
    <row r="3" spans="1:13" ht="15.75" customHeight="1" x14ac:dyDescent="0.25">
      <c r="A3" s="20"/>
      <c r="B3" s="6" t="s">
        <v>7</v>
      </c>
      <c r="C3" s="5">
        <v>4100</v>
      </c>
      <c r="D3" s="12"/>
      <c r="E3" s="5">
        <v>2000</v>
      </c>
      <c r="F3" s="12"/>
      <c r="G3" s="5">
        <v>4000</v>
      </c>
      <c r="H3" s="5"/>
      <c r="I3" s="5">
        <v>0</v>
      </c>
      <c r="J3" s="5"/>
      <c r="K3" s="5">
        <v>0</v>
      </c>
      <c r="L3" s="5"/>
      <c r="M3" s="12"/>
    </row>
    <row r="4" spans="1:13" ht="15.75" customHeight="1" x14ac:dyDescent="0.25">
      <c r="A4" s="20"/>
      <c r="B4" s="4" t="s">
        <v>8</v>
      </c>
      <c r="C4" s="3">
        <v>4700</v>
      </c>
      <c r="D4" s="11"/>
      <c r="E4" s="3">
        <v>0</v>
      </c>
      <c r="F4" s="11"/>
      <c r="G4" s="3">
        <v>1000</v>
      </c>
      <c r="H4" s="3"/>
      <c r="I4" s="3">
        <v>0</v>
      </c>
      <c r="J4" s="3"/>
      <c r="K4" s="3">
        <v>0</v>
      </c>
      <c r="L4" s="3"/>
      <c r="M4" s="11"/>
    </row>
    <row r="5" spans="1:13" ht="15.75" customHeight="1" x14ac:dyDescent="0.25">
      <c r="A5" s="20"/>
      <c r="B5" s="6" t="s">
        <v>15</v>
      </c>
      <c r="C5" s="5">
        <v>17200</v>
      </c>
      <c r="D5" s="12"/>
      <c r="E5" s="5">
        <v>0</v>
      </c>
      <c r="F5" s="12"/>
      <c r="G5" s="5">
        <v>0</v>
      </c>
      <c r="H5" s="5"/>
      <c r="I5" s="5">
        <v>0</v>
      </c>
      <c r="J5" s="5"/>
      <c r="K5" s="5">
        <v>0</v>
      </c>
      <c r="L5" s="5"/>
      <c r="M5" s="12"/>
    </row>
    <row r="6" spans="1:13" ht="15.75" customHeight="1" x14ac:dyDescent="0.25">
      <c r="A6" s="20"/>
      <c r="B6" s="4" t="s">
        <v>16</v>
      </c>
      <c r="C6" s="3">
        <v>0</v>
      </c>
      <c r="D6" s="11"/>
      <c r="E6" s="3">
        <v>0</v>
      </c>
      <c r="F6" s="11"/>
      <c r="G6" s="3">
        <v>0</v>
      </c>
      <c r="H6" s="3"/>
      <c r="I6" s="3">
        <v>0</v>
      </c>
      <c r="J6" s="3"/>
      <c r="K6" s="3">
        <v>0</v>
      </c>
      <c r="L6" s="3"/>
      <c r="M6" s="11"/>
    </row>
    <row r="7" spans="1:13" ht="15.75" customHeight="1" x14ac:dyDescent="0.25">
      <c r="A7" s="20"/>
      <c r="B7" s="6" t="s">
        <v>13</v>
      </c>
      <c r="C7" s="5">
        <v>7000</v>
      </c>
      <c r="D7" s="12"/>
      <c r="E7" s="5">
        <v>1100</v>
      </c>
      <c r="F7" s="12"/>
      <c r="G7" s="5">
        <v>0</v>
      </c>
      <c r="H7" s="5"/>
      <c r="I7" s="5">
        <v>0</v>
      </c>
      <c r="J7" s="5"/>
      <c r="K7" s="5">
        <v>0</v>
      </c>
      <c r="L7" s="5"/>
      <c r="M7" s="12"/>
    </row>
    <row r="8" spans="1:13" ht="15.75" customHeight="1" x14ac:dyDescent="0.25">
      <c r="A8" s="20"/>
      <c r="B8" s="4" t="s">
        <v>18</v>
      </c>
      <c r="C8" s="3">
        <v>5500</v>
      </c>
      <c r="D8" s="11"/>
      <c r="E8" s="3">
        <v>0</v>
      </c>
      <c r="F8" s="11"/>
      <c r="G8" s="3">
        <v>0</v>
      </c>
      <c r="H8" s="3"/>
      <c r="I8" s="3">
        <v>0</v>
      </c>
      <c r="J8" s="3"/>
      <c r="K8" s="3">
        <v>0</v>
      </c>
      <c r="L8" s="3"/>
      <c r="M8" s="11"/>
    </row>
    <row r="9" spans="1:13" ht="15.75" customHeight="1" x14ac:dyDescent="0.25">
      <c r="A9" s="20"/>
      <c r="B9" s="5" t="s">
        <v>17</v>
      </c>
      <c r="C9" s="5">
        <v>0</v>
      </c>
      <c r="D9" s="12"/>
      <c r="E9" s="5">
        <v>0</v>
      </c>
      <c r="F9" s="12"/>
      <c r="G9" s="5">
        <v>0</v>
      </c>
      <c r="H9" s="5"/>
      <c r="I9" s="5">
        <v>0</v>
      </c>
      <c r="J9" s="5"/>
      <c r="K9" s="5">
        <v>0</v>
      </c>
      <c r="L9" s="5"/>
      <c r="M9" s="12"/>
    </row>
    <row r="10" spans="1:13" ht="15.75" customHeight="1" x14ac:dyDescent="0.25">
      <c r="A10" s="16">
        <f t="shared" ref="A10:A12" si="0">SUM(C10,E10,G10,I10,K10)</f>
        <v>46600</v>
      </c>
      <c r="B10" s="4" t="s">
        <v>9</v>
      </c>
      <c r="C10" s="7">
        <f>SUM(C2:C9)</f>
        <v>38500</v>
      </c>
      <c r="D10" s="3" t="s">
        <v>12</v>
      </c>
      <c r="E10" s="7">
        <f>SUM(E2:E9)</f>
        <v>3100</v>
      </c>
      <c r="F10" s="3" t="s">
        <v>12</v>
      </c>
      <c r="G10" s="7">
        <f>SUM(G2:G9)</f>
        <v>5000</v>
      </c>
      <c r="H10" s="3" t="s">
        <v>12</v>
      </c>
      <c r="I10" s="7">
        <f>SUM(I2:I9)</f>
        <v>0</v>
      </c>
      <c r="J10" s="3" t="s">
        <v>12</v>
      </c>
      <c r="K10" s="7">
        <f>SUM(K2:K9)</f>
        <v>0</v>
      </c>
      <c r="L10" s="3" t="s">
        <v>12</v>
      </c>
      <c r="M10" s="11"/>
    </row>
    <row r="11" spans="1:13" ht="15.75" customHeight="1" x14ac:dyDescent="0.25">
      <c r="A11" s="15">
        <f t="shared" si="0"/>
        <v>1000</v>
      </c>
      <c r="B11" s="6" t="s">
        <v>10</v>
      </c>
      <c r="C11" s="8">
        <v>1000</v>
      </c>
      <c r="D11" s="5" t="s">
        <v>12</v>
      </c>
      <c r="E11" s="8">
        <v>0</v>
      </c>
      <c r="F11" s="5" t="s">
        <v>12</v>
      </c>
      <c r="G11" s="8">
        <v>0</v>
      </c>
      <c r="H11" s="5" t="s">
        <v>12</v>
      </c>
      <c r="I11" s="8">
        <v>0</v>
      </c>
      <c r="J11" s="5" t="s">
        <v>12</v>
      </c>
      <c r="K11" s="8">
        <v>0</v>
      </c>
      <c r="L11" s="5" t="s">
        <v>12</v>
      </c>
      <c r="M11" s="12"/>
    </row>
    <row r="12" spans="1:13" ht="15.75" customHeight="1" x14ac:dyDescent="0.25">
      <c r="A12" s="16">
        <f t="shared" si="0"/>
        <v>45600</v>
      </c>
      <c r="B12" s="4" t="s">
        <v>11</v>
      </c>
      <c r="C12" s="9">
        <f>C10-C11</f>
        <v>37500</v>
      </c>
      <c r="D12" s="3" t="s">
        <v>12</v>
      </c>
      <c r="E12" s="9">
        <f>E10-E11</f>
        <v>3100</v>
      </c>
      <c r="F12" s="3" t="s">
        <v>12</v>
      </c>
      <c r="G12" s="9">
        <f>G10-G11</f>
        <v>5000</v>
      </c>
      <c r="H12" s="3" t="s">
        <v>12</v>
      </c>
      <c r="I12" s="9">
        <f>I10-I11</f>
        <v>0</v>
      </c>
      <c r="J12" s="3" t="s">
        <v>12</v>
      </c>
      <c r="K12" s="9">
        <f>K10-K11</f>
        <v>0</v>
      </c>
      <c r="L12" s="3" t="s">
        <v>12</v>
      </c>
      <c r="M12" s="11"/>
    </row>
    <row r="13" spans="1:13" ht="15.75" customHeight="1" x14ac:dyDescent="0.25">
      <c r="A13" s="19">
        <v>46267</v>
      </c>
      <c r="B13" s="6" t="s">
        <v>6</v>
      </c>
      <c r="C13" s="5">
        <v>0</v>
      </c>
      <c r="D13" s="12"/>
      <c r="E13" s="5">
        <v>0</v>
      </c>
      <c r="F13" s="12"/>
      <c r="G13" s="5">
        <v>0</v>
      </c>
      <c r="H13" s="5"/>
      <c r="I13" s="5">
        <v>0</v>
      </c>
      <c r="J13" s="5"/>
      <c r="K13" s="5">
        <v>0</v>
      </c>
      <c r="L13" s="5"/>
      <c r="M13" s="12"/>
    </row>
    <row r="14" spans="1:13" ht="15.75" customHeight="1" x14ac:dyDescent="0.25">
      <c r="A14" s="20"/>
      <c r="B14" s="4" t="s">
        <v>7</v>
      </c>
      <c r="C14" s="3">
        <v>4000</v>
      </c>
      <c r="D14" s="11"/>
      <c r="E14" s="3">
        <v>1500</v>
      </c>
      <c r="F14" s="11"/>
      <c r="G14" s="3">
        <v>100</v>
      </c>
      <c r="H14" s="3"/>
      <c r="I14" s="3">
        <v>0</v>
      </c>
      <c r="J14" s="3"/>
      <c r="K14" s="3">
        <v>0</v>
      </c>
      <c r="L14" s="3"/>
      <c r="M14" s="11"/>
    </row>
    <row r="15" spans="1:13" ht="15.75" customHeight="1" x14ac:dyDescent="0.25">
      <c r="A15" s="20"/>
      <c r="B15" s="6" t="s">
        <v>8</v>
      </c>
      <c r="C15" s="5">
        <v>69700</v>
      </c>
      <c r="D15" s="12"/>
      <c r="E15" s="5">
        <v>1100</v>
      </c>
      <c r="F15" s="12"/>
      <c r="G15" s="5">
        <v>0</v>
      </c>
      <c r="H15" s="5"/>
      <c r="I15" s="5">
        <v>0</v>
      </c>
      <c r="J15" s="5"/>
      <c r="K15" s="5">
        <v>0</v>
      </c>
      <c r="L15" s="5"/>
      <c r="M15" s="12"/>
    </row>
    <row r="16" spans="1:13" ht="15.75" customHeight="1" x14ac:dyDescent="0.25">
      <c r="A16" s="20"/>
      <c r="B16" s="4" t="s">
        <v>15</v>
      </c>
      <c r="C16" s="3">
        <v>6100</v>
      </c>
      <c r="D16" s="11"/>
      <c r="E16" s="3">
        <v>5250</v>
      </c>
      <c r="F16" s="11"/>
      <c r="G16" s="3">
        <v>2000</v>
      </c>
      <c r="H16" s="3"/>
      <c r="I16" s="3">
        <v>0</v>
      </c>
      <c r="J16" s="3"/>
      <c r="K16" s="3">
        <v>0</v>
      </c>
      <c r="L16" s="3"/>
      <c r="M16" s="11"/>
    </row>
    <row r="17" spans="1:13" ht="15.75" customHeight="1" x14ac:dyDescent="0.25">
      <c r="A17" s="20"/>
      <c r="B17" s="6" t="s">
        <v>16</v>
      </c>
      <c r="C17" s="5">
        <v>1000</v>
      </c>
      <c r="D17" s="12"/>
      <c r="E17" s="5">
        <v>0</v>
      </c>
      <c r="F17" s="12"/>
      <c r="G17" s="5">
        <v>1000</v>
      </c>
      <c r="H17" s="5"/>
      <c r="I17" s="5">
        <v>0</v>
      </c>
      <c r="J17" s="5"/>
      <c r="K17" s="5">
        <v>0</v>
      </c>
      <c r="L17" s="5"/>
      <c r="M17" s="12"/>
    </row>
    <row r="18" spans="1:13" ht="15.75" customHeight="1" x14ac:dyDescent="0.25">
      <c r="A18" s="20"/>
      <c r="B18" s="4" t="s">
        <v>13</v>
      </c>
      <c r="C18" s="3">
        <v>12800</v>
      </c>
      <c r="D18" s="11"/>
      <c r="E18" s="3">
        <v>3200</v>
      </c>
      <c r="F18" s="11"/>
      <c r="G18" s="3">
        <v>1000</v>
      </c>
      <c r="H18" s="3"/>
      <c r="I18" s="3">
        <v>0</v>
      </c>
      <c r="J18" s="3"/>
      <c r="K18" s="3">
        <v>0</v>
      </c>
      <c r="L18" s="3"/>
      <c r="M18" s="11"/>
    </row>
    <row r="19" spans="1:13" ht="15.75" customHeight="1" x14ac:dyDescent="0.25">
      <c r="A19" s="20"/>
      <c r="B19" s="6" t="s">
        <v>18</v>
      </c>
      <c r="C19" s="5">
        <v>0</v>
      </c>
      <c r="D19" s="12"/>
      <c r="E19" s="5">
        <v>0</v>
      </c>
      <c r="F19" s="12"/>
      <c r="G19" s="5">
        <v>0</v>
      </c>
      <c r="H19" s="5"/>
      <c r="I19" s="5">
        <v>0</v>
      </c>
      <c r="J19" s="5"/>
      <c r="K19" s="5">
        <v>0</v>
      </c>
      <c r="L19" s="5"/>
      <c r="M19" s="12"/>
    </row>
    <row r="20" spans="1:13" ht="15.75" customHeight="1" x14ac:dyDescent="0.25">
      <c r="A20" s="20"/>
      <c r="B20" s="3" t="s">
        <v>17</v>
      </c>
      <c r="C20" s="3">
        <v>0</v>
      </c>
      <c r="D20" s="11"/>
      <c r="E20" s="3">
        <v>0</v>
      </c>
      <c r="F20" s="11"/>
      <c r="G20" s="3">
        <v>0</v>
      </c>
      <c r="H20" s="3"/>
      <c r="I20" s="3">
        <v>0</v>
      </c>
      <c r="J20" s="3"/>
      <c r="K20" s="3">
        <v>0</v>
      </c>
      <c r="L20" s="3"/>
      <c r="M20" s="11"/>
    </row>
    <row r="21" spans="1:13" ht="15.75" customHeight="1" x14ac:dyDescent="0.25">
      <c r="A21" s="15">
        <f t="shared" ref="A21:A23" si="1">SUM(C21,E21,G21,I21,K21)</f>
        <v>108750</v>
      </c>
      <c r="B21" s="6" t="s">
        <v>9</v>
      </c>
      <c r="C21" s="7">
        <f>SUM(C13:C20)</f>
        <v>93600</v>
      </c>
      <c r="D21" s="5" t="s">
        <v>12</v>
      </c>
      <c r="E21" s="7">
        <f>SUM(E13:E20)</f>
        <v>11050</v>
      </c>
      <c r="F21" s="5" t="s">
        <v>12</v>
      </c>
      <c r="G21" s="7">
        <f>SUM(G13:G20)</f>
        <v>4100</v>
      </c>
      <c r="H21" s="5" t="s">
        <v>12</v>
      </c>
      <c r="I21" s="7">
        <f>SUM(I13:I20)</f>
        <v>0</v>
      </c>
      <c r="J21" s="5" t="s">
        <v>12</v>
      </c>
      <c r="K21" s="7">
        <f>SUM(K13:K20)</f>
        <v>0</v>
      </c>
      <c r="L21" s="5" t="s">
        <v>12</v>
      </c>
      <c r="M21" s="12"/>
    </row>
    <row r="22" spans="1:13" ht="15.75" customHeight="1" x14ac:dyDescent="0.25">
      <c r="A22" s="16">
        <f t="shared" si="1"/>
        <v>2400</v>
      </c>
      <c r="B22" s="4" t="s">
        <v>10</v>
      </c>
      <c r="C22" s="8">
        <v>2400</v>
      </c>
      <c r="D22" s="3" t="s">
        <v>12</v>
      </c>
      <c r="E22" s="8">
        <v>0</v>
      </c>
      <c r="F22" s="3" t="s">
        <v>12</v>
      </c>
      <c r="G22" s="8">
        <v>0</v>
      </c>
      <c r="H22" s="3" t="s">
        <v>12</v>
      </c>
      <c r="I22" s="8">
        <v>0</v>
      </c>
      <c r="J22" s="3" t="s">
        <v>12</v>
      </c>
      <c r="K22" s="8">
        <v>0</v>
      </c>
      <c r="L22" s="3" t="s">
        <v>12</v>
      </c>
      <c r="M22" s="11"/>
    </row>
    <row r="23" spans="1:13" ht="15.75" customHeight="1" x14ac:dyDescent="0.25">
      <c r="A23" s="15">
        <f t="shared" si="1"/>
        <v>106350</v>
      </c>
      <c r="B23" s="6" t="s">
        <v>11</v>
      </c>
      <c r="C23" s="9">
        <f>C21-C22</f>
        <v>91200</v>
      </c>
      <c r="D23" s="5" t="s">
        <v>12</v>
      </c>
      <c r="E23" s="9">
        <f>E21-E22</f>
        <v>11050</v>
      </c>
      <c r="F23" s="5" t="s">
        <v>12</v>
      </c>
      <c r="G23" s="9">
        <f>G21-G22</f>
        <v>4100</v>
      </c>
      <c r="H23" s="5" t="s">
        <v>12</v>
      </c>
      <c r="I23" s="9">
        <f>I21-I22</f>
        <v>0</v>
      </c>
      <c r="J23" s="5" t="s">
        <v>12</v>
      </c>
      <c r="K23" s="9">
        <f>K21-K22</f>
        <v>0</v>
      </c>
      <c r="L23" s="5" t="s">
        <v>12</v>
      </c>
      <c r="M23" s="12"/>
    </row>
    <row r="24" spans="1:13" ht="15.75" customHeight="1" x14ac:dyDescent="0.25">
      <c r="A24" s="21">
        <v>46268</v>
      </c>
      <c r="B24" s="4" t="s">
        <v>6</v>
      </c>
      <c r="C24" s="3"/>
      <c r="D24" s="11"/>
      <c r="E24" s="3"/>
      <c r="F24" s="11"/>
      <c r="G24" s="3"/>
      <c r="H24" s="3"/>
      <c r="I24" s="3"/>
      <c r="J24" s="3"/>
      <c r="K24" s="3"/>
      <c r="L24" s="3"/>
      <c r="M24" s="11"/>
    </row>
    <row r="25" spans="1:13" ht="15.75" customHeight="1" x14ac:dyDescent="0.25">
      <c r="A25" s="20"/>
      <c r="B25" s="6" t="s">
        <v>7</v>
      </c>
      <c r="C25" s="5">
        <v>8900</v>
      </c>
      <c r="D25" s="12"/>
      <c r="E25" s="5">
        <v>3000</v>
      </c>
      <c r="F25" s="12"/>
      <c r="G25" s="5">
        <v>2000</v>
      </c>
      <c r="H25" s="5"/>
      <c r="I25" s="5"/>
      <c r="J25" s="5"/>
      <c r="K25" s="5"/>
      <c r="L25" s="5"/>
      <c r="M25" s="12"/>
    </row>
    <row r="26" spans="1:13" ht="15.75" customHeight="1" x14ac:dyDescent="0.25">
      <c r="A26" s="20"/>
      <c r="B26" s="4" t="s">
        <v>8</v>
      </c>
      <c r="C26" s="3">
        <v>9100</v>
      </c>
      <c r="D26" s="11"/>
      <c r="E26" s="3">
        <v>1000</v>
      </c>
      <c r="F26" s="11"/>
      <c r="G26" s="3">
        <v>1000</v>
      </c>
      <c r="H26" s="3"/>
      <c r="I26" s="3"/>
      <c r="J26" s="3"/>
      <c r="K26" s="3"/>
      <c r="L26" s="3"/>
      <c r="M26" s="11"/>
    </row>
    <row r="27" spans="1:13" ht="15.75" customHeight="1" x14ac:dyDescent="0.25">
      <c r="A27" s="20"/>
      <c r="B27" s="6" t="s">
        <v>15</v>
      </c>
      <c r="C27" s="5">
        <v>2100</v>
      </c>
      <c r="D27" s="12"/>
      <c r="E27" s="5">
        <v>2000</v>
      </c>
      <c r="F27" s="12"/>
      <c r="G27" s="5"/>
      <c r="H27" s="5"/>
      <c r="I27" s="5"/>
      <c r="J27" s="5"/>
      <c r="K27" s="5"/>
      <c r="L27" s="5"/>
      <c r="M27" s="12"/>
    </row>
    <row r="28" spans="1:13" ht="15.75" customHeight="1" x14ac:dyDescent="0.25">
      <c r="A28" s="20"/>
      <c r="B28" s="4" t="s">
        <v>16</v>
      </c>
      <c r="C28" s="3">
        <v>2000</v>
      </c>
      <c r="D28" s="11"/>
      <c r="E28" s="3">
        <v>1000</v>
      </c>
      <c r="F28" s="11"/>
      <c r="G28" s="3">
        <v>1000</v>
      </c>
      <c r="H28" s="3"/>
      <c r="I28" s="3"/>
      <c r="J28" s="3"/>
      <c r="K28" s="3"/>
      <c r="L28" s="3"/>
      <c r="M28" s="11"/>
    </row>
    <row r="29" spans="1:13" ht="15.75" customHeight="1" x14ac:dyDescent="0.25">
      <c r="A29" s="20"/>
      <c r="B29" s="6" t="s">
        <v>13</v>
      </c>
      <c r="C29" s="5">
        <v>7000</v>
      </c>
      <c r="D29" s="12"/>
      <c r="E29" s="5">
        <v>0</v>
      </c>
      <c r="F29" s="12"/>
      <c r="G29" s="5">
        <v>0</v>
      </c>
      <c r="H29" s="5"/>
      <c r="I29" s="5"/>
      <c r="J29" s="5"/>
      <c r="K29" s="5"/>
      <c r="L29" s="5"/>
      <c r="M29" s="12"/>
    </row>
    <row r="30" spans="1:13" ht="15.75" customHeight="1" x14ac:dyDescent="0.25">
      <c r="A30" s="20"/>
      <c r="B30" s="4" t="s">
        <v>18</v>
      </c>
      <c r="C30" s="3">
        <v>3000</v>
      </c>
      <c r="D30" s="11"/>
      <c r="E30" s="3">
        <v>1000</v>
      </c>
      <c r="F30" s="11"/>
      <c r="G30" s="3"/>
      <c r="H30" s="3"/>
      <c r="I30" s="3"/>
      <c r="J30" s="3"/>
      <c r="K30" s="3"/>
      <c r="L30" s="3"/>
      <c r="M30" s="11"/>
    </row>
    <row r="31" spans="1:13" ht="15.75" customHeight="1" x14ac:dyDescent="0.25">
      <c r="A31" s="20"/>
      <c r="B31" s="5" t="s">
        <v>17</v>
      </c>
      <c r="C31" s="5"/>
      <c r="D31" s="12"/>
      <c r="E31" s="5"/>
      <c r="F31" s="12"/>
      <c r="G31" s="5"/>
      <c r="H31" s="5"/>
      <c r="I31" s="5"/>
      <c r="J31" s="5"/>
      <c r="K31" s="5"/>
      <c r="L31" s="5"/>
      <c r="M31" s="12"/>
    </row>
    <row r="32" spans="1:13" ht="15.75" customHeight="1" x14ac:dyDescent="0.25">
      <c r="A32" s="16">
        <f t="shared" ref="A32:A34" si="2">SUM(C32,E32,G32,I32,K32)</f>
        <v>44100</v>
      </c>
      <c r="B32" s="4" t="s">
        <v>9</v>
      </c>
      <c r="C32" s="7">
        <f>SUM(C24:C31)</f>
        <v>32100</v>
      </c>
      <c r="D32" s="3" t="s">
        <v>12</v>
      </c>
      <c r="E32" s="7">
        <f>SUM(E24:E31)</f>
        <v>8000</v>
      </c>
      <c r="F32" s="3" t="s">
        <v>12</v>
      </c>
      <c r="G32" s="7">
        <f>SUM(G24:G31)</f>
        <v>4000</v>
      </c>
      <c r="H32" s="3" t="s">
        <v>12</v>
      </c>
      <c r="I32" s="7">
        <f>SUM(I24:I31)</f>
        <v>0</v>
      </c>
      <c r="J32" s="3" t="s">
        <v>12</v>
      </c>
      <c r="K32" s="7">
        <f>SUM(K24:K31)</f>
        <v>0</v>
      </c>
      <c r="L32" s="3" t="s">
        <v>12</v>
      </c>
      <c r="M32" s="11"/>
    </row>
    <row r="33" spans="1:13" ht="15.75" customHeight="1" x14ac:dyDescent="0.25">
      <c r="A33" s="15">
        <f t="shared" si="2"/>
        <v>5600</v>
      </c>
      <c r="B33" s="6" t="s">
        <v>10</v>
      </c>
      <c r="C33" s="8">
        <v>5600</v>
      </c>
      <c r="D33" s="5" t="s">
        <v>12</v>
      </c>
      <c r="E33" s="8">
        <v>0</v>
      </c>
      <c r="F33" s="5" t="s">
        <v>12</v>
      </c>
      <c r="G33" s="8">
        <v>0</v>
      </c>
      <c r="H33" s="5" t="s">
        <v>12</v>
      </c>
      <c r="I33" s="8">
        <v>0</v>
      </c>
      <c r="J33" s="5" t="s">
        <v>12</v>
      </c>
      <c r="K33" s="8">
        <v>0</v>
      </c>
      <c r="L33" s="5" t="s">
        <v>12</v>
      </c>
      <c r="M33" s="12"/>
    </row>
    <row r="34" spans="1:13" ht="15.75" customHeight="1" x14ac:dyDescent="0.25">
      <c r="A34" s="16">
        <f t="shared" si="2"/>
        <v>38500</v>
      </c>
      <c r="B34" s="4" t="s">
        <v>11</v>
      </c>
      <c r="C34" s="9">
        <f>C32-C33</f>
        <v>26500</v>
      </c>
      <c r="D34" s="3" t="s">
        <v>12</v>
      </c>
      <c r="E34" s="9">
        <f>E32-E33</f>
        <v>8000</v>
      </c>
      <c r="F34" s="3" t="s">
        <v>12</v>
      </c>
      <c r="G34" s="9">
        <f>G32-G33</f>
        <v>4000</v>
      </c>
      <c r="H34" s="3" t="s">
        <v>12</v>
      </c>
      <c r="I34" s="9">
        <f>I32-I33</f>
        <v>0</v>
      </c>
      <c r="J34" s="3" t="s">
        <v>12</v>
      </c>
      <c r="K34" s="9">
        <f>K32-K33</f>
        <v>0</v>
      </c>
      <c r="L34" s="3" t="s">
        <v>12</v>
      </c>
      <c r="M34" s="11"/>
    </row>
    <row r="35" spans="1:13" ht="15.75" customHeight="1" x14ac:dyDescent="0.25">
      <c r="A35" s="19">
        <v>46269</v>
      </c>
      <c r="B35" s="6" t="s">
        <v>6</v>
      </c>
      <c r="C35" s="5">
        <v>0</v>
      </c>
      <c r="D35" s="12"/>
      <c r="E35" s="5">
        <v>0</v>
      </c>
      <c r="F35" s="12"/>
      <c r="G35" s="5">
        <v>0</v>
      </c>
      <c r="H35" s="5"/>
      <c r="I35" s="5">
        <v>0</v>
      </c>
      <c r="J35" s="5"/>
      <c r="K35" s="5">
        <v>0</v>
      </c>
      <c r="L35" s="5"/>
      <c r="M35" s="12"/>
    </row>
    <row r="36" spans="1:13" ht="15.75" customHeight="1" x14ac:dyDescent="0.25">
      <c r="A36" s="20"/>
      <c r="B36" s="4" t="s">
        <v>7</v>
      </c>
      <c r="C36" s="3">
        <v>4000</v>
      </c>
      <c r="D36" s="11"/>
      <c r="E36" s="3">
        <v>2000</v>
      </c>
      <c r="F36" s="11"/>
      <c r="G36" s="3">
        <v>2000</v>
      </c>
      <c r="H36" s="3"/>
      <c r="I36" s="3">
        <v>0</v>
      </c>
      <c r="J36" s="3"/>
      <c r="K36" s="3">
        <v>0</v>
      </c>
      <c r="L36" s="3"/>
      <c r="M36" s="11"/>
    </row>
    <row r="37" spans="1:13" ht="15.75" customHeight="1" x14ac:dyDescent="0.25">
      <c r="A37" s="20"/>
      <c r="B37" s="6" t="s">
        <v>8</v>
      </c>
      <c r="C37" s="5">
        <v>8400</v>
      </c>
      <c r="D37" s="12"/>
      <c r="E37" s="5">
        <v>2100</v>
      </c>
      <c r="F37" s="12"/>
      <c r="G37" s="5">
        <v>2000</v>
      </c>
      <c r="H37" s="5"/>
      <c r="I37" s="5">
        <v>0</v>
      </c>
      <c r="J37" s="5"/>
      <c r="K37" s="5">
        <v>0</v>
      </c>
      <c r="L37" s="5"/>
      <c r="M37" s="12"/>
    </row>
    <row r="38" spans="1:13" ht="15.75" customHeight="1" x14ac:dyDescent="0.25">
      <c r="A38" s="20"/>
      <c r="B38" s="4" t="s">
        <v>15</v>
      </c>
      <c r="C38" s="3">
        <v>6100</v>
      </c>
      <c r="D38" s="11"/>
      <c r="E38" s="3">
        <v>5000</v>
      </c>
      <c r="F38" s="11"/>
      <c r="G38" s="3">
        <v>0</v>
      </c>
      <c r="H38" s="3"/>
      <c r="I38" s="3">
        <v>0</v>
      </c>
      <c r="J38" s="3"/>
      <c r="K38" s="3">
        <v>0</v>
      </c>
      <c r="L38" s="3"/>
      <c r="M38" s="11"/>
    </row>
    <row r="39" spans="1:13" ht="15.75" customHeight="1" x14ac:dyDescent="0.25">
      <c r="A39" s="20"/>
      <c r="B39" s="6" t="s">
        <v>16</v>
      </c>
      <c r="C39" s="5">
        <v>4100</v>
      </c>
      <c r="D39" s="12"/>
      <c r="E39" s="5">
        <v>2100</v>
      </c>
      <c r="F39" s="12"/>
      <c r="G39" s="5">
        <v>1000</v>
      </c>
      <c r="H39" s="5"/>
      <c r="I39" s="5">
        <v>0</v>
      </c>
      <c r="J39" s="5"/>
      <c r="K39" s="5">
        <v>0</v>
      </c>
      <c r="L39" s="5"/>
      <c r="M39" s="12"/>
    </row>
    <row r="40" spans="1:13" ht="15.75" customHeight="1" x14ac:dyDescent="0.25">
      <c r="A40" s="20"/>
      <c r="B40" s="4" t="s">
        <v>13</v>
      </c>
      <c r="C40" s="3">
        <v>0</v>
      </c>
      <c r="D40" s="11"/>
      <c r="E40" s="3">
        <v>0</v>
      </c>
      <c r="F40" s="11"/>
      <c r="G40" s="3">
        <v>0</v>
      </c>
      <c r="H40" s="3"/>
      <c r="I40" s="3">
        <v>0</v>
      </c>
      <c r="J40" s="3"/>
      <c r="K40" s="3">
        <v>0</v>
      </c>
      <c r="L40" s="3"/>
      <c r="M40" s="11"/>
    </row>
    <row r="41" spans="1:13" ht="15.75" customHeight="1" x14ac:dyDescent="0.25">
      <c r="A41" s="20"/>
      <c r="B41" s="6" t="s">
        <v>18</v>
      </c>
      <c r="C41" s="5">
        <v>3500</v>
      </c>
      <c r="D41" s="12"/>
      <c r="E41" s="5">
        <v>0</v>
      </c>
      <c r="F41" s="12"/>
      <c r="G41" s="5">
        <v>0</v>
      </c>
      <c r="H41" s="5"/>
      <c r="I41" s="5">
        <v>0</v>
      </c>
      <c r="J41" s="5"/>
      <c r="K41" s="5">
        <v>5000</v>
      </c>
      <c r="L41" s="5"/>
      <c r="M41" s="12"/>
    </row>
    <row r="42" spans="1:13" ht="15.75" customHeight="1" x14ac:dyDescent="0.25">
      <c r="A42" s="20"/>
      <c r="B42" s="3" t="s">
        <v>17</v>
      </c>
      <c r="C42" s="3">
        <v>0</v>
      </c>
      <c r="D42" s="11"/>
      <c r="E42" s="3">
        <v>0</v>
      </c>
      <c r="F42" s="11"/>
      <c r="G42" s="3">
        <v>0</v>
      </c>
      <c r="H42" s="3"/>
      <c r="I42" s="3">
        <v>0</v>
      </c>
      <c r="J42" s="3"/>
      <c r="K42" s="3">
        <v>0</v>
      </c>
      <c r="L42" s="3"/>
      <c r="M42" s="11"/>
    </row>
    <row r="43" spans="1:13" ht="15.75" customHeight="1" x14ac:dyDescent="0.25">
      <c r="A43" s="15">
        <f t="shared" ref="A43:A45" si="3">SUM(C43,E43,G43,I43,K43)</f>
        <v>47300</v>
      </c>
      <c r="B43" s="6" t="s">
        <v>9</v>
      </c>
      <c r="C43" s="7">
        <f>SUM(C35:C42)</f>
        <v>26100</v>
      </c>
      <c r="D43" s="5" t="s">
        <v>12</v>
      </c>
      <c r="E43" s="7">
        <f>SUM(E35:E42)</f>
        <v>11200</v>
      </c>
      <c r="F43" s="5" t="s">
        <v>12</v>
      </c>
      <c r="G43" s="7">
        <f>SUM(G35:G42)</f>
        <v>5000</v>
      </c>
      <c r="H43" s="5">
        <v>4000</v>
      </c>
      <c r="I43" s="7">
        <f>SUM(I35:I42)</f>
        <v>0</v>
      </c>
      <c r="J43" s="5" t="s">
        <v>12</v>
      </c>
      <c r="K43" s="7">
        <f>SUM(K35:K42)</f>
        <v>5000</v>
      </c>
      <c r="L43" s="5" t="s">
        <v>12</v>
      </c>
      <c r="M43" s="12"/>
    </row>
    <row r="44" spans="1:13" ht="15.75" customHeight="1" x14ac:dyDescent="0.25">
      <c r="A44" s="16">
        <f t="shared" si="3"/>
        <v>3924</v>
      </c>
      <c r="B44" s="4" t="s">
        <v>10</v>
      </c>
      <c r="C44" s="8">
        <v>3924</v>
      </c>
      <c r="D44" s="3" t="s">
        <v>12</v>
      </c>
      <c r="E44" s="8">
        <v>0</v>
      </c>
      <c r="F44" s="3" t="s">
        <v>12</v>
      </c>
      <c r="G44" s="8">
        <v>0</v>
      </c>
      <c r="H44" s="3" t="s">
        <v>12</v>
      </c>
      <c r="I44" s="8">
        <v>0</v>
      </c>
      <c r="J44" s="3" t="s">
        <v>12</v>
      </c>
      <c r="K44" s="8">
        <v>0</v>
      </c>
      <c r="L44" s="3" t="s">
        <v>12</v>
      </c>
      <c r="M44" s="11"/>
    </row>
    <row r="45" spans="1:13" ht="15.75" customHeight="1" x14ac:dyDescent="0.25">
      <c r="A45" s="15">
        <f t="shared" si="3"/>
        <v>43376</v>
      </c>
      <c r="B45" s="6" t="s">
        <v>11</v>
      </c>
      <c r="C45" s="9">
        <f>C43-C44</f>
        <v>22176</v>
      </c>
      <c r="D45" s="5" t="s">
        <v>12</v>
      </c>
      <c r="E45" s="9">
        <f>E43-E44</f>
        <v>11200</v>
      </c>
      <c r="F45" s="5" t="s">
        <v>12</v>
      </c>
      <c r="G45" s="9">
        <f>G43-G44</f>
        <v>5000</v>
      </c>
      <c r="H45" s="5"/>
      <c r="I45" s="9">
        <f>I43-I44</f>
        <v>0</v>
      </c>
      <c r="J45" s="5" t="s">
        <v>12</v>
      </c>
      <c r="K45" s="9">
        <f>K43-K44</f>
        <v>5000</v>
      </c>
      <c r="L45" s="5" t="s">
        <v>12</v>
      </c>
      <c r="M45" s="12"/>
    </row>
    <row r="46" spans="1:13" ht="15.75" customHeight="1" x14ac:dyDescent="0.25">
      <c r="A46" s="21">
        <v>46270</v>
      </c>
      <c r="B46" s="4" t="s">
        <v>6</v>
      </c>
      <c r="C46" s="3"/>
      <c r="D46" s="11"/>
      <c r="E46" s="3"/>
      <c r="F46" s="11"/>
      <c r="G46" s="3"/>
      <c r="H46" s="3"/>
      <c r="I46" s="3"/>
      <c r="J46" s="3"/>
      <c r="K46" s="3"/>
      <c r="L46" s="3"/>
      <c r="M46" s="11"/>
    </row>
    <row r="47" spans="1:13" ht="15.75" customHeight="1" x14ac:dyDescent="0.25">
      <c r="A47" s="20"/>
      <c r="B47" s="6" t="s">
        <v>7</v>
      </c>
      <c r="C47" s="5">
        <v>8100</v>
      </c>
      <c r="D47" s="12"/>
      <c r="E47" s="5">
        <v>1000</v>
      </c>
      <c r="F47" s="12"/>
      <c r="G47" s="5">
        <v>1000</v>
      </c>
      <c r="H47" s="5"/>
      <c r="I47" s="5">
        <v>4000</v>
      </c>
      <c r="J47" s="5"/>
      <c r="K47" s="5"/>
      <c r="L47" s="5"/>
      <c r="M47" s="12"/>
    </row>
    <row r="48" spans="1:13" ht="15.75" customHeight="1" x14ac:dyDescent="0.25">
      <c r="A48" s="20"/>
      <c r="B48" s="4" t="s">
        <v>8</v>
      </c>
      <c r="C48" s="3">
        <v>104000</v>
      </c>
      <c r="D48" s="11"/>
      <c r="E48" s="3">
        <v>0</v>
      </c>
      <c r="F48" s="11"/>
      <c r="G48" s="3">
        <v>4100</v>
      </c>
      <c r="H48" s="3"/>
      <c r="I48" s="3"/>
      <c r="J48" s="3"/>
      <c r="K48" s="3"/>
      <c r="L48" s="3"/>
      <c r="M48" s="11"/>
    </row>
    <row r="49" spans="1:13" x14ac:dyDescent="0.25">
      <c r="A49" s="20"/>
      <c r="B49" s="6" t="s">
        <v>15</v>
      </c>
      <c r="C49" s="5">
        <v>9500</v>
      </c>
      <c r="D49" s="12"/>
      <c r="E49" s="5">
        <v>1200</v>
      </c>
      <c r="F49" s="12"/>
      <c r="G49" s="5">
        <v>2000</v>
      </c>
      <c r="H49" s="5"/>
      <c r="I49" s="5"/>
      <c r="J49" s="5"/>
      <c r="K49" s="5"/>
      <c r="L49" s="5"/>
      <c r="M49" s="12"/>
    </row>
    <row r="50" spans="1:13" x14ac:dyDescent="0.25">
      <c r="A50" s="20"/>
      <c r="B50" s="4" t="s">
        <v>16</v>
      </c>
      <c r="C50" s="3">
        <v>3500</v>
      </c>
      <c r="D50" s="11"/>
      <c r="E50" s="3">
        <v>2800</v>
      </c>
      <c r="F50" s="11"/>
      <c r="G50" s="3">
        <v>1000</v>
      </c>
      <c r="H50" s="3"/>
      <c r="I50" s="3"/>
      <c r="J50" s="3"/>
      <c r="K50" s="3"/>
      <c r="L50" s="3"/>
      <c r="M50" s="11"/>
    </row>
    <row r="51" spans="1:13" x14ac:dyDescent="0.25">
      <c r="A51" s="20"/>
      <c r="B51" s="6" t="s">
        <v>13</v>
      </c>
      <c r="C51" s="5">
        <v>8000</v>
      </c>
      <c r="D51" s="12"/>
      <c r="E51" s="5">
        <v>3000</v>
      </c>
      <c r="F51" s="12"/>
      <c r="G51" s="5">
        <v>1000</v>
      </c>
      <c r="H51" s="5"/>
      <c r="I51" s="5"/>
      <c r="J51" s="5"/>
      <c r="K51" s="5"/>
      <c r="L51" s="5"/>
      <c r="M51" s="12"/>
    </row>
    <row r="52" spans="1:13" x14ac:dyDescent="0.25">
      <c r="A52" s="20"/>
      <c r="B52" s="4" t="s">
        <v>18</v>
      </c>
      <c r="C52" s="3">
        <v>4200</v>
      </c>
      <c r="D52" s="11"/>
      <c r="E52" s="3">
        <v>1300</v>
      </c>
      <c r="F52" s="11"/>
      <c r="G52" s="3">
        <v>3100</v>
      </c>
      <c r="H52" s="3"/>
      <c r="I52" s="3"/>
      <c r="J52" s="3"/>
      <c r="K52" s="3"/>
      <c r="L52" s="3"/>
      <c r="M52" s="11"/>
    </row>
    <row r="53" spans="1:13" x14ac:dyDescent="0.25">
      <c r="A53" s="20"/>
      <c r="B53" s="5" t="s">
        <v>17</v>
      </c>
      <c r="C53" s="5"/>
      <c r="D53" s="12"/>
      <c r="E53" s="5"/>
      <c r="F53" s="12"/>
      <c r="G53" s="5"/>
      <c r="H53" s="5"/>
      <c r="I53" s="5"/>
      <c r="J53" s="5"/>
      <c r="K53" s="5"/>
      <c r="L53" s="5"/>
      <c r="M53" s="12"/>
    </row>
    <row r="54" spans="1:13" x14ac:dyDescent="0.25">
      <c r="A54" s="16">
        <f t="shared" ref="A54:A56" si="4">SUM(C54,E54,G54,I54,K54)</f>
        <v>162800</v>
      </c>
      <c r="B54" s="4" t="s">
        <v>9</v>
      </c>
      <c r="C54" s="7">
        <f>SUM(C46:C53)</f>
        <v>137300</v>
      </c>
      <c r="D54" s="3" t="s">
        <v>12</v>
      </c>
      <c r="E54" s="7">
        <f>SUM(E46:E53)</f>
        <v>9300</v>
      </c>
      <c r="F54" s="3" t="s">
        <v>12</v>
      </c>
      <c r="G54" s="7">
        <f>SUM(G46:G53)</f>
        <v>12200</v>
      </c>
      <c r="H54" s="3" t="s">
        <v>12</v>
      </c>
      <c r="I54" s="7">
        <f>SUM(I46:I53)</f>
        <v>4000</v>
      </c>
      <c r="J54" s="3" t="s">
        <v>12</v>
      </c>
      <c r="K54" s="7">
        <f>SUM(K46:K53)</f>
        <v>0</v>
      </c>
      <c r="L54" s="3" t="s">
        <v>12</v>
      </c>
      <c r="M54" s="11"/>
    </row>
    <row r="55" spans="1:13" x14ac:dyDescent="0.25">
      <c r="A55" s="15">
        <f t="shared" si="4"/>
        <v>7236</v>
      </c>
      <c r="B55" s="6" t="s">
        <v>10</v>
      </c>
      <c r="C55" s="8">
        <v>7236</v>
      </c>
      <c r="D55" s="5" t="s">
        <v>12</v>
      </c>
      <c r="E55" s="8">
        <v>0</v>
      </c>
      <c r="F55" s="5" t="s">
        <v>12</v>
      </c>
      <c r="G55" s="8">
        <v>0</v>
      </c>
      <c r="H55" s="5" t="s">
        <v>12</v>
      </c>
      <c r="I55" s="8">
        <v>0</v>
      </c>
      <c r="J55" s="5" t="s">
        <v>12</v>
      </c>
      <c r="K55" s="8">
        <v>0</v>
      </c>
      <c r="L55" s="5" t="s">
        <v>12</v>
      </c>
      <c r="M55" s="12"/>
    </row>
    <row r="56" spans="1:13" x14ac:dyDescent="0.25">
      <c r="A56" s="16">
        <f t="shared" si="4"/>
        <v>155564</v>
      </c>
      <c r="B56" s="4" t="s">
        <v>11</v>
      </c>
      <c r="C56" s="9">
        <f>C54-C55</f>
        <v>130064</v>
      </c>
      <c r="D56" s="3" t="s">
        <v>12</v>
      </c>
      <c r="E56" s="9">
        <f>E54-E55</f>
        <v>9300</v>
      </c>
      <c r="F56" s="3" t="s">
        <v>12</v>
      </c>
      <c r="G56" s="9">
        <f>G54-G55</f>
        <v>12200</v>
      </c>
      <c r="H56" s="3" t="s">
        <v>12</v>
      </c>
      <c r="I56" s="9">
        <f>I54-I55</f>
        <v>4000</v>
      </c>
      <c r="J56" s="3" t="s">
        <v>12</v>
      </c>
      <c r="K56" s="9">
        <f>K54-K55</f>
        <v>0</v>
      </c>
      <c r="L56" s="3" t="s">
        <v>12</v>
      </c>
      <c r="M56" s="11"/>
    </row>
    <row r="57" spans="1:13" x14ac:dyDescent="0.25">
      <c r="A57" s="19">
        <v>46272</v>
      </c>
      <c r="B57" s="6" t="s">
        <v>6</v>
      </c>
      <c r="C57" s="5">
        <v>0</v>
      </c>
      <c r="D57" s="12"/>
      <c r="E57" s="5">
        <v>0</v>
      </c>
      <c r="F57" s="12"/>
      <c r="G57" s="5">
        <v>0</v>
      </c>
      <c r="H57" s="5"/>
      <c r="I57" s="5">
        <v>0</v>
      </c>
      <c r="J57" s="5"/>
      <c r="K57" s="5">
        <v>0</v>
      </c>
      <c r="L57" s="5"/>
      <c r="M57" s="12"/>
    </row>
    <row r="58" spans="1:13" x14ac:dyDescent="0.25">
      <c r="A58" s="20"/>
      <c r="B58" s="4" t="s">
        <v>7</v>
      </c>
      <c r="C58" s="3">
        <v>5300</v>
      </c>
      <c r="D58" s="11"/>
      <c r="E58" s="3">
        <v>4000</v>
      </c>
      <c r="F58" s="11"/>
      <c r="G58" s="3">
        <v>2000</v>
      </c>
      <c r="H58" s="3"/>
      <c r="I58" s="3">
        <v>0</v>
      </c>
      <c r="J58" s="3"/>
      <c r="K58" s="3">
        <v>0</v>
      </c>
      <c r="L58" s="3"/>
      <c r="M58" s="11"/>
    </row>
    <row r="59" spans="1:13" x14ac:dyDescent="0.25">
      <c r="A59" s="20"/>
      <c r="B59" s="6" t="s">
        <v>8</v>
      </c>
      <c r="C59" s="5">
        <v>5800</v>
      </c>
      <c r="D59" s="12"/>
      <c r="E59" s="5">
        <v>0</v>
      </c>
      <c r="F59" s="12"/>
      <c r="G59" s="5">
        <v>1100</v>
      </c>
      <c r="H59" s="5"/>
      <c r="I59" s="5">
        <v>0</v>
      </c>
      <c r="J59" s="5"/>
      <c r="K59" s="5">
        <v>0</v>
      </c>
      <c r="L59" s="5"/>
      <c r="M59" s="12"/>
    </row>
    <row r="60" spans="1:13" x14ac:dyDescent="0.25">
      <c r="A60" s="20"/>
      <c r="B60" s="4" t="s">
        <v>15</v>
      </c>
      <c r="C60" s="3">
        <v>0</v>
      </c>
      <c r="D60" s="11"/>
      <c r="E60" s="3">
        <v>0</v>
      </c>
      <c r="F60" s="11"/>
      <c r="G60" s="3">
        <v>0</v>
      </c>
      <c r="H60" s="3"/>
      <c r="I60" s="3">
        <v>0</v>
      </c>
      <c r="J60" s="3"/>
      <c r="K60" s="3">
        <v>0</v>
      </c>
      <c r="L60" s="3"/>
      <c r="M60" s="11"/>
    </row>
    <row r="61" spans="1:13" x14ac:dyDescent="0.25">
      <c r="A61" s="20"/>
      <c r="B61" s="6" t="s">
        <v>16</v>
      </c>
      <c r="C61" s="5">
        <v>6300</v>
      </c>
      <c r="D61" s="12"/>
      <c r="E61" s="5">
        <v>0</v>
      </c>
      <c r="F61" s="12"/>
      <c r="G61" s="5">
        <v>200</v>
      </c>
      <c r="H61" s="5"/>
      <c r="I61" s="5">
        <v>0</v>
      </c>
      <c r="J61" s="5"/>
      <c r="K61" s="5">
        <v>0</v>
      </c>
      <c r="L61" s="5"/>
      <c r="M61" s="12"/>
    </row>
    <row r="62" spans="1:13" x14ac:dyDescent="0.25">
      <c r="A62" s="20"/>
      <c r="B62" s="4" t="s">
        <v>13</v>
      </c>
      <c r="C62" s="3">
        <v>5500</v>
      </c>
      <c r="D62" s="11"/>
      <c r="E62" s="3">
        <v>4100</v>
      </c>
      <c r="F62" s="11"/>
      <c r="G62" s="3">
        <v>0</v>
      </c>
      <c r="H62" s="3"/>
      <c r="I62" s="3">
        <v>0</v>
      </c>
      <c r="J62" s="3"/>
      <c r="K62" s="3">
        <v>0</v>
      </c>
      <c r="L62" s="3"/>
      <c r="M62" s="11"/>
    </row>
    <row r="63" spans="1:13" x14ac:dyDescent="0.25">
      <c r="A63" s="20"/>
      <c r="B63" s="6" t="s">
        <v>18</v>
      </c>
      <c r="C63" s="5">
        <v>7250</v>
      </c>
      <c r="D63" s="12"/>
      <c r="E63" s="5">
        <v>0</v>
      </c>
      <c r="F63" s="12"/>
      <c r="G63" s="5">
        <v>0</v>
      </c>
      <c r="H63" s="5"/>
      <c r="I63" s="5">
        <v>0</v>
      </c>
      <c r="J63" s="5"/>
      <c r="K63" s="5">
        <v>0</v>
      </c>
      <c r="L63" s="5"/>
      <c r="M63" s="12"/>
    </row>
    <row r="64" spans="1:13" x14ac:dyDescent="0.25">
      <c r="A64" s="20"/>
      <c r="B64" s="3" t="s">
        <v>17</v>
      </c>
      <c r="C64" s="3">
        <v>0</v>
      </c>
      <c r="D64" s="11"/>
      <c r="E64" s="3">
        <v>0</v>
      </c>
      <c r="F64" s="11"/>
      <c r="G64" s="3">
        <v>0</v>
      </c>
      <c r="H64" s="3"/>
      <c r="I64" s="3">
        <v>0</v>
      </c>
      <c r="J64" s="3"/>
      <c r="K64" s="3">
        <v>0</v>
      </c>
      <c r="L64" s="3"/>
      <c r="M64" s="11"/>
    </row>
    <row r="65" spans="1:13" x14ac:dyDescent="0.25">
      <c r="A65" s="15">
        <f t="shared" ref="A65:A67" si="5">SUM(C65,E65,G65,I65,K65)</f>
        <v>41550</v>
      </c>
      <c r="B65" s="6" t="s">
        <v>9</v>
      </c>
      <c r="C65" s="7">
        <f>SUM(C57:C64)</f>
        <v>30150</v>
      </c>
      <c r="D65" s="5" t="s">
        <v>12</v>
      </c>
      <c r="E65" s="7">
        <f>SUM(E57:E64)</f>
        <v>8100</v>
      </c>
      <c r="F65" s="5" t="s">
        <v>12</v>
      </c>
      <c r="G65" s="7">
        <f>SUM(G57:G64)</f>
        <v>3300</v>
      </c>
      <c r="H65" s="5" t="s">
        <v>12</v>
      </c>
      <c r="I65" s="7">
        <f>SUM(I57:I64)</f>
        <v>0</v>
      </c>
      <c r="J65" s="5" t="s">
        <v>12</v>
      </c>
      <c r="K65" s="7">
        <f>SUM(K57:K64)</f>
        <v>0</v>
      </c>
      <c r="L65" s="5" t="s">
        <v>12</v>
      </c>
      <c r="M65" s="12"/>
    </row>
    <row r="66" spans="1:13" x14ac:dyDescent="0.25">
      <c r="A66" s="16">
        <f t="shared" si="5"/>
        <v>8637</v>
      </c>
      <c r="B66" s="4" t="s">
        <v>10</v>
      </c>
      <c r="C66" s="8">
        <v>8637</v>
      </c>
      <c r="D66" s="3" t="s">
        <v>12</v>
      </c>
      <c r="E66" s="8">
        <v>0</v>
      </c>
      <c r="F66" s="3" t="s">
        <v>12</v>
      </c>
      <c r="G66" s="8">
        <v>0</v>
      </c>
      <c r="H66" s="3" t="s">
        <v>12</v>
      </c>
      <c r="I66" s="8">
        <v>0</v>
      </c>
      <c r="J66" s="3" t="s">
        <v>12</v>
      </c>
      <c r="K66" s="8">
        <v>0</v>
      </c>
      <c r="L66" s="3" t="s">
        <v>12</v>
      </c>
      <c r="M66" s="11"/>
    </row>
    <row r="67" spans="1:13" x14ac:dyDescent="0.25">
      <c r="A67" s="15">
        <f t="shared" si="5"/>
        <v>32913</v>
      </c>
      <c r="B67" s="6" t="s">
        <v>11</v>
      </c>
      <c r="C67" s="9">
        <f>C65-C66</f>
        <v>21513</v>
      </c>
      <c r="D67" s="5" t="s">
        <v>12</v>
      </c>
      <c r="E67" s="9">
        <f>E65-E66</f>
        <v>8100</v>
      </c>
      <c r="F67" s="5" t="s">
        <v>12</v>
      </c>
      <c r="G67" s="9">
        <f>G65-G66</f>
        <v>3300</v>
      </c>
      <c r="H67" s="5" t="s">
        <v>12</v>
      </c>
      <c r="I67" s="9">
        <f>I65-I66</f>
        <v>0</v>
      </c>
      <c r="J67" s="5" t="s">
        <v>12</v>
      </c>
      <c r="K67" s="9">
        <f>K65-K66</f>
        <v>0</v>
      </c>
      <c r="L67" s="5" t="s">
        <v>12</v>
      </c>
      <c r="M67" s="12"/>
    </row>
    <row r="68" spans="1:13" x14ac:dyDescent="0.25">
      <c r="A68" s="21">
        <v>46273</v>
      </c>
      <c r="B68" s="4" t="s">
        <v>6</v>
      </c>
      <c r="C68" s="3">
        <v>0</v>
      </c>
      <c r="D68" s="11"/>
      <c r="E68" s="3">
        <v>0</v>
      </c>
      <c r="F68" s="11"/>
      <c r="G68" s="3">
        <v>0</v>
      </c>
      <c r="H68" s="3"/>
      <c r="I68" s="3">
        <v>0</v>
      </c>
      <c r="J68" s="3"/>
      <c r="K68" s="3">
        <v>0</v>
      </c>
      <c r="L68" s="3"/>
      <c r="M68" s="11"/>
    </row>
    <row r="69" spans="1:13" x14ac:dyDescent="0.25">
      <c r="A69" s="20"/>
      <c r="B69" s="6" t="s">
        <v>7</v>
      </c>
      <c r="C69" s="5">
        <v>4500</v>
      </c>
      <c r="D69" s="12"/>
      <c r="E69" s="5">
        <v>2000</v>
      </c>
      <c r="F69" s="12"/>
      <c r="G69" s="5">
        <v>0</v>
      </c>
      <c r="H69" s="5"/>
      <c r="I69" s="5">
        <v>0</v>
      </c>
      <c r="J69" s="5"/>
      <c r="K69" s="5">
        <v>0</v>
      </c>
      <c r="L69" s="5"/>
      <c r="M69" s="12"/>
    </row>
    <row r="70" spans="1:13" x14ac:dyDescent="0.25">
      <c r="A70" s="20"/>
      <c r="B70" s="4" t="s">
        <v>8</v>
      </c>
      <c r="C70" s="3">
        <v>3500</v>
      </c>
      <c r="D70" s="11"/>
      <c r="E70" s="3">
        <v>3200</v>
      </c>
      <c r="F70" s="11"/>
      <c r="G70" s="3">
        <v>0</v>
      </c>
      <c r="H70" s="3"/>
      <c r="I70" s="3">
        <v>0</v>
      </c>
      <c r="J70" s="3"/>
      <c r="K70" s="3">
        <v>0</v>
      </c>
      <c r="L70" s="3"/>
      <c r="M70" s="11"/>
    </row>
    <row r="71" spans="1:13" x14ac:dyDescent="0.25">
      <c r="A71" s="20"/>
      <c r="B71" s="6" t="s">
        <v>15</v>
      </c>
      <c r="C71" s="5">
        <v>8850</v>
      </c>
      <c r="D71" s="12"/>
      <c r="E71" s="5">
        <v>1000</v>
      </c>
      <c r="F71" s="12"/>
      <c r="G71" s="5">
        <v>1000</v>
      </c>
      <c r="H71" s="5"/>
      <c r="I71" s="5">
        <v>0</v>
      </c>
      <c r="J71" s="5"/>
      <c r="K71" s="5">
        <v>0</v>
      </c>
      <c r="L71" s="5"/>
      <c r="M71" s="12"/>
    </row>
    <row r="72" spans="1:13" x14ac:dyDescent="0.25">
      <c r="A72" s="20"/>
      <c r="B72" s="4" t="s">
        <v>16</v>
      </c>
      <c r="C72" s="3">
        <v>0</v>
      </c>
      <c r="D72" s="11"/>
      <c r="E72" s="3">
        <v>0</v>
      </c>
      <c r="F72" s="11"/>
      <c r="G72" s="3">
        <v>0</v>
      </c>
      <c r="H72" s="3"/>
      <c r="I72" s="3">
        <v>0</v>
      </c>
      <c r="J72" s="3"/>
      <c r="K72" s="3">
        <v>0</v>
      </c>
      <c r="L72" s="3"/>
      <c r="M72" s="11"/>
    </row>
    <row r="73" spans="1:13" x14ac:dyDescent="0.25">
      <c r="A73" s="20"/>
      <c r="B73" s="6" t="s">
        <v>13</v>
      </c>
      <c r="C73" s="5">
        <v>11100</v>
      </c>
      <c r="D73" s="12"/>
      <c r="E73" s="5">
        <v>4000</v>
      </c>
      <c r="F73" s="12"/>
      <c r="G73" s="5">
        <v>1100</v>
      </c>
      <c r="H73" s="5"/>
      <c r="I73" s="5">
        <v>0</v>
      </c>
      <c r="J73" s="5"/>
      <c r="K73" s="5">
        <v>0</v>
      </c>
      <c r="L73" s="5"/>
      <c r="M73" s="12"/>
    </row>
    <row r="74" spans="1:13" x14ac:dyDescent="0.25">
      <c r="A74" s="20"/>
      <c r="B74" s="4" t="s">
        <v>18</v>
      </c>
      <c r="C74" s="3">
        <v>2700</v>
      </c>
      <c r="D74" s="11"/>
      <c r="E74" s="3">
        <v>1000</v>
      </c>
      <c r="F74" s="11"/>
      <c r="G74" s="3">
        <v>0</v>
      </c>
      <c r="H74" s="3"/>
      <c r="I74" s="3">
        <v>0</v>
      </c>
      <c r="J74" s="3"/>
      <c r="K74" s="3">
        <v>0</v>
      </c>
      <c r="L74" s="3"/>
      <c r="M74" s="11"/>
    </row>
    <row r="75" spans="1:13" x14ac:dyDescent="0.25">
      <c r="A75" s="20"/>
      <c r="B75" s="5" t="s">
        <v>17</v>
      </c>
      <c r="C75" s="5">
        <v>0</v>
      </c>
      <c r="D75" s="12"/>
      <c r="E75" s="5">
        <v>0</v>
      </c>
      <c r="F75" s="12"/>
      <c r="G75" s="5">
        <v>0</v>
      </c>
      <c r="H75" s="5"/>
      <c r="I75" s="5">
        <v>0</v>
      </c>
      <c r="J75" s="5"/>
      <c r="K75" s="5">
        <v>0</v>
      </c>
      <c r="L75" s="5"/>
      <c r="M75" s="12"/>
    </row>
    <row r="76" spans="1:13" x14ac:dyDescent="0.25">
      <c r="A76" s="16">
        <f t="shared" ref="A76:A78" si="6">SUM(C76,E76,G76,I76,K76)</f>
        <v>43950</v>
      </c>
      <c r="B76" s="4" t="s">
        <v>9</v>
      </c>
      <c r="C76" s="7">
        <f>SUM(C68:C75)</f>
        <v>30650</v>
      </c>
      <c r="D76" s="3" t="s">
        <v>12</v>
      </c>
      <c r="E76" s="7">
        <f>SUM(E68:E75)</f>
        <v>11200</v>
      </c>
      <c r="F76" s="3" t="s">
        <v>12</v>
      </c>
      <c r="G76" s="7">
        <f>SUM(G68:G75)</f>
        <v>2100</v>
      </c>
      <c r="H76" s="3" t="s">
        <v>12</v>
      </c>
      <c r="I76" s="7">
        <f>SUM(I68:I75)</f>
        <v>0</v>
      </c>
      <c r="J76" s="3" t="s">
        <v>12</v>
      </c>
      <c r="K76" s="7">
        <f>SUM(K68:K75)</f>
        <v>0</v>
      </c>
      <c r="L76" s="3" t="s">
        <v>12</v>
      </c>
      <c r="M76" s="11"/>
    </row>
    <row r="77" spans="1:13" x14ac:dyDescent="0.25">
      <c r="A77" s="15">
        <f t="shared" si="6"/>
        <v>2405</v>
      </c>
      <c r="B77" s="6" t="s">
        <v>10</v>
      </c>
      <c r="C77" s="8">
        <v>2405</v>
      </c>
      <c r="D77" s="12">
        <v>225</v>
      </c>
      <c r="E77" s="8">
        <v>0</v>
      </c>
      <c r="F77" s="5" t="s">
        <v>12</v>
      </c>
      <c r="G77" s="8">
        <v>0</v>
      </c>
      <c r="H77" s="5" t="s">
        <v>12</v>
      </c>
      <c r="I77" s="8">
        <v>0</v>
      </c>
      <c r="J77" s="5" t="s">
        <v>12</v>
      </c>
      <c r="K77" s="8">
        <v>0</v>
      </c>
      <c r="L77" s="5" t="s">
        <v>12</v>
      </c>
      <c r="M77" s="12"/>
    </row>
    <row r="78" spans="1:13" x14ac:dyDescent="0.25">
      <c r="A78" s="16">
        <f t="shared" si="6"/>
        <v>41545</v>
      </c>
      <c r="B78" s="4" t="s">
        <v>11</v>
      </c>
      <c r="C78" s="9">
        <f>C76-C77</f>
        <v>28245</v>
      </c>
      <c r="D78" s="11"/>
      <c r="E78" s="9">
        <f>E76-E77</f>
        <v>11200</v>
      </c>
      <c r="F78" s="3" t="s">
        <v>12</v>
      </c>
      <c r="G78" s="9">
        <f>G76-G77</f>
        <v>2100</v>
      </c>
      <c r="H78" s="3" t="s">
        <v>12</v>
      </c>
      <c r="I78" s="9">
        <f>I76-I77</f>
        <v>0</v>
      </c>
      <c r="J78" s="3" t="s">
        <v>12</v>
      </c>
      <c r="K78" s="9">
        <f>K76-K77</f>
        <v>0</v>
      </c>
      <c r="L78" s="3" t="s">
        <v>12</v>
      </c>
      <c r="M78" s="11"/>
    </row>
    <row r="79" spans="1:13" x14ac:dyDescent="0.25">
      <c r="A79" s="19">
        <v>46274</v>
      </c>
      <c r="B79" s="6" t="s">
        <v>6</v>
      </c>
      <c r="C79" s="5">
        <v>0</v>
      </c>
      <c r="D79" s="12"/>
      <c r="E79" s="5">
        <v>0</v>
      </c>
      <c r="F79" s="12"/>
      <c r="G79" s="5">
        <v>0</v>
      </c>
      <c r="H79" s="5"/>
      <c r="I79" s="5">
        <v>0</v>
      </c>
      <c r="J79" s="5"/>
      <c r="K79" s="5">
        <v>0</v>
      </c>
      <c r="L79" s="5"/>
      <c r="M79" s="12"/>
    </row>
    <row r="80" spans="1:13" x14ac:dyDescent="0.25">
      <c r="A80" s="20"/>
      <c r="B80" s="4" t="s">
        <v>7</v>
      </c>
      <c r="C80" s="3">
        <v>0</v>
      </c>
      <c r="D80" s="11"/>
      <c r="E80" s="3">
        <v>0</v>
      </c>
      <c r="F80" s="11"/>
      <c r="G80" s="3">
        <v>0</v>
      </c>
      <c r="H80" s="3"/>
      <c r="I80" s="3">
        <v>0</v>
      </c>
      <c r="J80" s="3"/>
      <c r="K80" s="3">
        <v>0</v>
      </c>
      <c r="L80" s="3"/>
      <c r="M80" s="11"/>
    </row>
    <row r="81" spans="1:13" x14ac:dyDescent="0.25">
      <c r="A81" s="20"/>
      <c r="B81" s="6" t="s">
        <v>8</v>
      </c>
      <c r="C81" s="5">
        <v>0</v>
      </c>
      <c r="D81" s="12"/>
      <c r="E81" s="5">
        <v>0</v>
      </c>
      <c r="F81" s="12"/>
      <c r="G81" s="5">
        <v>0</v>
      </c>
      <c r="H81" s="5"/>
      <c r="I81" s="5">
        <v>0</v>
      </c>
      <c r="J81" s="5"/>
      <c r="K81" s="5">
        <v>0</v>
      </c>
      <c r="L81" s="5"/>
      <c r="M81" s="12"/>
    </row>
    <row r="82" spans="1:13" x14ac:dyDescent="0.25">
      <c r="A82" s="20"/>
      <c r="B82" s="4" t="s">
        <v>15</v>
      </c>
      <c r="C82" s="3">
        <v>8100</v>
      </c>
      <c r="D82" s="11"/>
      <c r="E82" s="3">
        <v>2100</v>
      </c>
      <c r="F82" s="11"/>
      <c r="G82" s="3">
        <v>2500</v>
      </c>
      <c r="H82" s="3"/>
      <c r="I82" s="3">
        <v>0</v>
      </c>
      <c r="J82" s="3"/>
      <c r="K82" s="3">
        <v>0</v>
      </c>
      <c r="L82" s="3"/>
      <c r="M82" s="11"/>
    </row>
    <row r="83" spans="1:13" x14ac:dyDescent="0.25">
      <c r="A83" s="20"/>
      <c r="B83" s="6" t="s">
        <v>16</v>
      </c>
      <c r="C83" s="5">
        <v>8000</v>
      </c>
      <c r="D83" s="12"/>
      <c r="E83" s="5">
        <v>1000</v>
      </c>
      <c r="F83" s="12"/>
      <c r="G83" s="5">
        <v>2200</v>
      </c>
      <c r="H83" s="5"/>
      <c r="I83" s="5">
        <v>0</v>
      </c>
      <c r="J83" s="5"/>
      <c r="K83" s="5">
        <v>0</v>
      </c>
      <c r="L83" s="5"/>
      <c r="M83" s="12"/>
    </row>
    <row r="84" spans="1:13" x14ac:dyDescent="0.25">
      <c r="A84" s="20"/>
      <c r="B84" s="4" t="s">
        <v>13</v>
      </c>
      <c r="C84" s="3">
        <v>5300</v>
      </c>
      <c r="D84" s="11"/>
      <c r="E84" s="3">
        <v>6000</v>
      </c>
      <c r="F84" s="11"/>
      <c r="G84" s="3">
        <v>0</v>
      </c>
      <c r="H84" s="3"/>
      <c r="I84" s="3">
        <v>0</v>
      </c>
      <c r="J84" s="3"/>
      <c r="K84" s="3">
        <v>0</v>
      </c>
      <c r="L84" s="3"/>
      <c r="M84" s="11"/>
    </row>
    <row r="85" spans="1:13" x14ac:dyDescent="0.25">
      <c r="A85" s="20"/>
      <c r="B85" s="6" t="s">
        <v>18</v>
      </c>
      <c r="C85" s="5">
        <v>2850</v>
      </c>
      <c r="D85" s="12"/>
      <c r="E85" s="5">
        <v>1000</v>
      </c>
      <c r="F85" s="12"/>
      <c r="G85" s="5">
        <v>1000</v>
      </c>
      <c r="H85" s="5"/>
      <c r="I85" s="5">
        <v>0</v>
      </c>
      <c r="J85" s="5"/>
      <c r="K85" s="5">
        <v>0</v>
      </c>
      <c r="L85" s="5"/>
      <c r="M85" s="12"/>
    </row>
    <row r="86" spans="1:13" x14ac:dyDescent="0.25">
      <c r="A86" s="20"/>
      <c r="B86" s="3" t="s">
        <v>17</v>
      </c>
      <c r="C86" s="3">
        <v>0</v>
      </c>
      <c r="D86" s="11"/>
      <c r="E86" s="3">
        <v>0</v>
      </c>
      <c r="F86" s="11"/>
      <c r="G86" s="3">
        <v>0</v>
      </c>
      <c r="H86" s="3"/>
      <c r="I86" s="3">
        <v>0</v>
      </c>
      <c r="J86" s="3"/>
      <c r="K86" s="3">
        <v>0</v>
      </c>
      <c r="L86" s="3"/>
      <c r="M86" s="11"/>
    </row>
    <row r="87" spans="1:13" x14ac:dyDescent="0.25">
      <c r="A87" s="15">
        <f t="shared" ref="A87:A89" si="7">SUM(C87,E87,G87,I87,K87)</f>
        <v>40050</v>
      </c>
      <c r="B87" s="6" t="s">
        <v>9</v>
      </c>
      <c r="C87" s="7">
        <f>SUM(C79:D86)</f>
        <v>24250</v>
      </c>
      <c r="D87" s="12">
        <v>27500</v>
      </c>
      <c r="E87" s="7">
        <f>SUM(E79:E86)</f>
        <v>10100</v>
      </c>
      <c r="F87" s="5">
        <v>9100</v>
      </c>
      <c r="G87" s="7">
        <f>SUM(G79:G86)</f>
        <v>5700</v>
      </c>
      <c r="H87" s="5" t="s">
        <v>12</v>
      </c>
      <c r="I87" s="7">
        <f>SUM(I79:I86)</f>
        <v>0</v>
      </c>
      <c r="J87" s="5" t="s">
        <v>12</v>
      </c>
      <c r="K87" s="7">
        <f>SUM(K79:K86)</f>
        <v>0</v>
      </c>
      <c r="L87" s="5" t="s">
        <v>12</v>
      </c>
      <c r="M87" s="12"/>
    </row>
    <row r="88" spans="1:13" x14ac:dyDescent="0.25">
      <c r="A88" s="16">
        <f t="shared" si="7"/>
        <v>7632</v>
      </c>
      <c r="B88" s="4" t="s">
        <v>10</v>
      </c>
      <c r="C88" s="8">
        <v>7632</v>
      </c>
      <c r="D88" s="11"/>
      <c r="E88" s="8">
        <v>0</v>
      </c>
      <c r="F88" s="11"/>
      <c r="G88" s="8">
        <v>0</v>
      </c>
      <c r="H88" s="3"/>
      <c r="I88" s="8">
        <v>0</v>
      </c>
      <c r="J88" s="3" t="s">
        <v>12</v>
      </c>
      <c r="K88" s="8">
        <v>0</v>
      </c>
      <c r="L88" s="3" t="s">
        <v>12</v>
      </c>
      <c r="M88" s="11"/>
    </row>
    <row r="89" spans="1:13" x14ac:dyDescent="0.25">
      <c r="A89" s="15">
        <f t="shared" si="7"/>
        <v>32418</v>
      </c>
      <c r="B89" s="6" t="s">
        <v>11</v>
      </c>
      <c r="C89" s="9">
        <f>C87-C88</f>
        <v>16618</v>
      </c>
      <c r="D89" s="12"/>
      <c r="E89" s="9">
        <f>E87-E88</f>
        <v>10100</v>
      </c>
      <c r="F89" s="12"/>
      <c r="G89" s="9">
        <f>G87-G88</f>
        <v>5700</v>
      </c>
      <c r="H89" s="5"/>
      <c r="I89" s="9">
        <f>I87-I88</f>
        <v>0</v>
      </c>
      <c r="J89" s="5" t="s">
        <v>12</v>
      </c>
      <c r="K89" s="9">
        <f>K87-K88</f>
        <v>0</v>
      </c>
      <c r="L89" s="5" t="s">
        <v>12</v>
      </c>
      <c r="M89" s="12"/>
    </row>
    <row r="90" spans="1:13" x14ac:dyDescent="0.25">
      <c r="A90" s="21">
        <v>46275</v>
      </c>
      <c r="B90" s="4" t="s">
        <v>6</v>
      </c>
      <c r="C90" s="3">
        <v>0</v>
      </c>
      <c r="D90" s="11"/>
      <c r="E90" s="3">
        <v>0</v>
      </c>
      <c r="F90" s="11"/>
      <c r="G90" s="3">
        <v>0</v>
      </c>
      <c r="H90" s="3"/>
      <c r="I90" s="3">
        <v>0</v>
      </c>
      <c r="J90" s="3"/>
      <c r="K90" s="3">
        <v>0</v>
      </c>
      <c r="L90" s="3"/>
      <c r="M90" s="11"/>
    </row>
    <row r="91" spans="1:13" x14ac:dyDescent="0.25">
      <c r="A91" s="20"/>
      <c r="B91" s="6" t="s">
        <v>7</v>
      </c>
      <c r="C91" s="5">
        <v>0</v>
      </c>
      <c r="D91" s="12"/>
      <c r="E91" s="5">
        <v>0</v>
      </c>
      <c r="F91" s="12"/>
      <c r="G91" s="5">
        <v>0</v>
      </c>
      <c r="H91" s="5"/>
      <c r="I91" s="5">
        <v>0</v>
      </c>
      <c r="J91" s="5"/>
      <c r="K91" s="5">
        <v>0</v>
      </c>
      <c r="L91" s="5"/>
      <c r="M91" s="12"/>
    </row>
    <row r="92" spans="1:13" x14ac:dyDescent="0.25">
      <c r="A92" s="20"/>
      <c r="B92" s="4" t="s">
        <v>8</v>
      </c>
      <c r="C92" s="3">
        <v>0</v>
      </c>
      <c r="D92" s="11"/>
      <c r="E92" s="3">
        <v>0</v>
      </c>
      <c r="F92" s="11"/>
      <c r="G92" s="3">
        <v>0</v>
      </c>
      <c r="H92" s="3"/>
      <c r="I92" s="3">
        <v>0</v>
      </c>
      <c r="J92" s="3"/>
      <c r="K92" s="3">
        <v>0</v>
      </c>
      <c r="L92" s="3"/>
      <c r="M92" s="11"/>
    </row>
    <row r="93" spans="1:13" x14ac:dyDescent="0.25">
      <c r="A93" s="20"/>
      <c r="B93" s="6" t="s">
        <v>15</v>
      </c>
      <c r="C93" s="5">
        <v>8000</v>
      </c>
      <c r="D93" s="12"/>
      <c r="E93" s="5">
        <v>1000</v>
      </c>
      <c r="F93" s="12"/>
      <c r="G93" s="5">
        <v>0</v>
      </c>
      <c r="H93" s="5"/>
      <c r="I93" s="5">
        <v>0</v>
      </c>
      <c r="J93" s="5"/>
      <c r="K93" s="5">
        <v>0</v>
      </c>
      <c r="L93" s="5"/>
      <c r="M93" s="12"/>
    </row>
    <row r="94" spans="1:13" x14ac:dyDescent="0.25">
      <c r="A94" s="20"/>
      <c r="B94" s="4" t="s">
        <v>16</v>
      </c>
      <c r="C94" s="3">
        <v>3500</v>
      </c>
      <c r="D94" s="11"/>
      <c r="E94" s="3">
        <v>2750</v>
      </c>
      <c r="F94" s="11"/>
      <c r="G94" s="3"/>
      <c r="H94" s="3"/>
      <c r="I94" s="3"/>
      <c r="J94" s="3"/>
      <c r="K94" s="3"/>
      <c r="L94" s="3"/>
      <c r="M94" s="11"/>
    </row>
    <row r="95" spans="1:13" x14ac:dyDescent="0.25">
      <c r="A95" s="20"/>
      <c r="B95" s="6" t="s">
        <v>13</v>
      </c>
      <c r="C95" s="5">
        <v>20000</v>
      </c>
      <c r="D95" s="12"/>
      <c r="E95" s="5">
        <v>1000</v>
      </c>
      <c r="F95" s="12"/>
      <c r="G95" s="5">
        <v>1000</v>
      </c>
      <c r="H95" s="5"/>
      <c r="I95" s="5">
        <v>0</v>
      </c>
      <c r="J95" s="5"/>
      <c r="K95" s="5">
        <v>0</v>
      </c>
      <c r="L95" s="5"/>
      <c r="M95" s="12"/>
    </row>
    <row r="96" spans="1:13" x14ac:dyDescent="0.25">
      <c r="A96" s="20"/>
      <c r="B96" s="4" t="s">
        <v>18</v>
      </c>
      <c r="C96" s="3">
        <v>10250</v>
      </c>
      <c r="D96" s="11"/>
      <c r="E96" s="3">
        <v>1000</v>
      </c>
      <c r="F96" s="11"/>
      <c r="G96" s="3">
        <v>0</v>
      </c>
      <c r="H96" s="3"/>
      <c r="I96" s="3">
        <v>0</v>
      </c>
      <c r="J96" s="3"/>
      <c r="K96" s="3">
        <v>0</v>
      </c>
      <c r="L96" s="3"/>
      <c r="M96" s="11"/>
    </row>
    <row r="97" spans="1:13" x14ac:dyDescent="0.25">
      <c r="A97" s="20"/>
      <c r="B97" s="5" t="s">
        <v>17</v>
      </c>
      <c r="C97" s="5">
        <v>0</v>
      </c>
      <c r="D97" s="12"/>
      <c r="E97" s="5">
        <v>0</v>
      </c>
      <c r="F97" s="12"/>
      <c r="G97" s="5">
        <v>0</v>
      </c>
      <c r="H97" s="5"/>
      <c r="I97" s="5">
        <v>0</v>
      </c>
      <c r="J97" s="5"/>
      <c r="K97" s="5">
        <v>0</v>
      </c>
      <c r="L97" s="5"/>
      <c r="M97" s="12"/>
    </row>
    <row r="98" spans="1:13" x14ac:dyDescent="0.25">
      <c r="A98" s="16">
        <f t="shared" ref="A98:A100" si="8">SUM(C98,E98,G98,I98,K98)</f>
        <v>48500</v>
      </c>
      <c r="B98" s="4" t="s">
        <v>9</v>
      </c>
      <c r="C98" s="7">
        <f>SUM(C90:D97)</f>
        <v>41750</v>
      </c>
      <c r="D98" s="11">
        <v>42000</v>
      </c>
      <c r="E98" s="7">
        <f>SUM(E90:E97)</f>
        <v>5750</v>
      </c>
      <c r="F98" s="11">
        <v>4500</v>
      </c>
      <c r="G98" s="7">
        <f>SUM(G90:G97)</f>
        <v>1000</v>
      </c>
      <c r="H98" s="3">
        <v>2000</v>
      </c>
      <c r="I98" s="7">
        <f>SUM(I90:I97)</f>
        <v>0</v>
      </c>
      <c r="J98" s="3" t="s">
        <v>12</v>
      </c>
      <c r="K98" s="7">
        <f>SUM(K90:K97)</f>
        <v>0</v>
      </c>
      <c r="L98" s="3" t="s">
        <v>12</v>
      </c>
      <c r="M98" s="11"/>
    </row>
    <row r="99" spans="1:13" x14ac:dyDescent="0.25">
      <c r="A99" s="15">
        <f t="shared" si="8"/>
        <v>8684</v>
      </c>
      <c r="B99" s="6" t="s">
        <v>10</v>
      </c>
      <c r="C99" s="8">
        <v>8684</v>
      </c>
      <c r="D99" s="12"/>
      <c r="E99" s="8">
        <v>0</v>
      </c>
      <c r="F99" s="12"/>
      <c r="G99" s="8">
        <v>0</v>
      </c>
      <c r="H99" s="5"/>
      <c r="I99" s="8">
        <v>0</v>
      </c>
      <c r="J99" s="5" t="s">
        <v>12</v>
      </c>
      <c r="K99" s="8">
        <v>0</v>
      </c>
      <c r="L99" s="5" t="s">
        <v>12</v>
      </c>
      <c r="M99" s="12"/>
    </row>
    <row r="100" spans="1:13" x14ac:dyDescent="0.25">
      <c r="A100" s="16">
        <f t="shared" si="8"/>
        <v>39816</v>
      </c>
      <c r="B100" s="4" t="s">
        <v>11</v>
      </c>
      <c r="C100" s="9">
        <f>C98-C99</f>
        <v>33066</v>
      </c>
      <c r="D100" s="11"/>
      <c r="E100" s="9">
        <f>E98-E99</f>
        <v>5750</v>
      </c>
      <c r="F100" s="11"/>
      <c r="G100" s="9">
        <f>G98-G99</f>
        <v>1000</v>
      </c>
      <c r="H100" s="3"/>
      <c r="I100" s="9">
        <f>I98-I99</f>
        <v>0</v>
      </c>
      <c r="J100" s="3" t="s">
        <v>12</v>
      </c>
      <c r="K100" s="9">
        <f>K98-K99</f>
        <v>0</v>
      </c>
      <c r="L100" s="3" t="s">
        <v>12</v>
      </c>
      <c r="M100" s="11"/>
    </row>
    <row r="101" spans="1:13" x14ac:dyDescent="0.25">
      <c r="A101" s="19">
        <v>46276</v>
      </c>
      <c r="B101" s="6" t="s">
        <v>6</v>
      </c>
      <c r="C101" s="5">
        <v>0</v>
      </c>
      <c r="D101" s="12"/>
      <c r="E101" s="5">
        <v>0</v>
      </c>
      <c r="F101" s="12"/>
      <c r="G101" s="5">
        <v>0</v>
      </c>
      <c r="H101" s="5"/>
      <c r="I101" s="5">
        <v>0</v>
      </c>
      <c r="J101" s="5"/>
      <c r="K101" s="5">
        <v>0</v>
      </c>
      <c r="L101" s="5"/>
      <c r="M101" s="12"/>
    </row>
    <row r="102" spans="1:13" x14ac:dyDescent="0.25">
      <c r="A102" s="20"/>
      <c r="B102" s="4" t="s">
        <v>7</v>
      </c>
      <c r="C102" s="3">
        <v>0</v>
      </c>
      <c r="D102" s="11"/>
      <c r="E102" s="3">
        <v>0</v>
      </c>
      <c r="F102" s="11"/>
      <c r="G102" s="3">
        <v>0</v>
      </c>
      <c r="H102" s="3"/>
      <c r="I102" s="3">
        <v>0</v>
      </c>
      <c r="J102" s="3"/>
      <c r="K102" s="3">
        <v>0</v>
      </c>
      <c r="L102" s="3"/>
      <c r="M102" s="11"/>
    </row>
    <row r="103" spans="1:13" x14ac:dyDescent="0.25">
      <c r="A103" s="20"/>
      <c r="B103" s="6" t="s">
        <v>8</v>
      </c>
      <c r="C103" s="5">
        <v>0</v>
      </c>
      <c r="D103" s="12"/>
      <c r="E103" s="5">
        <v>0</v>
      </c>
      <c r="F103" s="12"/>
      <c r="G103" s="5">
        <v>0</v>
      </c>
      <c r="H103" s="5"/>
      <c r="I103" s="5">
        <v>0</v>
      </c>
      <c r="J103" s="5"/>
      <c r="K103" s="5">
        <v>0</v>
      </c>
      <c r="L103" s="5"/>
      <c r="M103" s="12"/>
    </row>
    <row r="104" spans="1:13" x14ac:dyDescent="0.25">
      <c r="A104" s="20"/>
      <c r="B104" s="4" t="s">
        <v>15</v>
      </c>
      <c r="C104" s="3">
        <v>5100</v>
      </c>
      <c r="D104" s="11"/>
      <c r="E104" s="3">
        <v>3600</v>
      </c>
      <c r="F104" s="11"/>
      <c r="G104" s="3">
        <v>6250</v>
      </c>
      <c r="H104" s="3"/>
      <c r="I104" s="3">
        <v>0</v>
      </c>
      <c r="J104" s="3"/>
      <c r="K104" s="3">
        <v>0</v>
      </c>
      <c r="L104" s="3"/>
      <c r="M104" s="11"/>
    </row>
    <row r="105" spans="1:13" x14ac:dyDescent="0.25">
      <c r="A105" s="20"/>
      <c r="B105" s="6" t="s">
        <v>16</v>
      </c>
      <c r="C105" s="5">
        <v>6000</v>
      </c>
      <c r="D105" s="12"/>
      <c r="E105" s="5">
        <v>3100</v>
      </c>
      <c r="F105" s="12"/>
      <c r="G105" s="5">
        <v>1000</v>
      </c>
      <c r="H105" s="5"/>
      <c r="I105" s="5">
        <v>0</v>
      </c>
      <c r="J105" s="5"/>
      <c r="K105" s="5">
        <v>0</v>
      </c>
      <c r="L105" s="5"/>
      <c r="M105" s="12"/>
    </row>
    <row r="106" spans="1:13" x14ac:dyDescent="0.25">
      <c r="A106" s="20"/>
      <c r="B106" s="4" t="s">
        <v>13</v>
      </c>
      <c r="C106" s="3">
        <v>7600</v>
      </c>
      <c r="D106" s="11"/>
      <c r="E106" s="3">
        <v>1000</v>
      </c>
      <c r="F106" s="11"/>
      <c r="G106" s="3">
        <v>1000</v>
      </c>
      <c r="H106" s="3"/>
      <c r="I106" s="3">
        <v>0</v>
      </c>
      <c r="J106" s="3"/>
      <c r="K106" s="3">
        <v>0</v>
      </c>
      <c r="L106" s="3"/>
      <c r="M106" s="11"/>
    </row>
    <row r="107" spans="1:13" x14ac:dyDescent="0.25">
      <c r="A107" s="20"/>
      <c r="B107" s="6" t="s">
        <v>18</v>
      </c>
      <c r="C107" s="5">
        <v>2000</v>
      </c>
      <c r="D107" s="12"/>
      <c r="E107" s="5">
        <v>0</v>
      </c>
      <c r="F107" s="12"/>
      <c r="G107" s="5">
        <v>1100</v>
      </c>
      <c r="H107" s="5"/>
      <c r="I107" s="5">
        <v>0</v>
      </c>
      <c r="J107" s="5"/>
      <c r="K107" s="5">
        <v>0</v>
      </c>
      <c r="L107" s="5"/>
      <c r="M107" s="12"/>
    </row>
    <row r="108" spans="1:13" x14ac:dyDescent="0.25">
      <c r="A108" s="20"/>
      <c r="B108" s="3" t="s">
        <v>17</v>
      </c>
      <c r="C108" s="3">
        <v>0</v>
      </c>
      <c r="D108" s="11"/>
      <c r="E108" s="3">
        <v>0</v>
      </c>
      <c r="F108" s="11"/>
      <c r="G108" s="3">
        <v>0</v>
      </c>
      <c r="H108" s="3"/>
      <c r="I108" s="3">
        <v>0</v>
      </c>
      <c r="J108" s="3"/>
      <c r="K108" s="3">
        <v>0</v>
      </c>
      <c r="L108" s="3"/>
      <c r="M108" s="11"/>
    </row>
    <row r="109" spans="1:13" x14ac:dyDescent="0.25">
      <c r="A109" s="17">
        <f t="shared" ref="A109:A111" si="9">SUM(C109,E109,G109,I109,K109)</f>
        <v>37750</v>
      </c>
      <c r="B109" s="6" t="s">
        <v>9</v>
      </c>
      <c r="C109" s="7">
        <f>SUM(C101:D108)</f>
        <v>20700</v>
      </c>
      <c r="D109" s="12"/>
      <c r="E109" s="7">
        <f>SUM(E101:E108)</f>
        <v>7700</v>
      </c>
      <c r="F109" s="12"/>
      <c r="G109" s="7">
        <f>SUM(G101:G108)</f>
        <v>9350</v>
      </c>
      <c r="H109" s="5"/>
      <c r="I109" s="7">
        <f>SUM(I101:I108)</f>
        <v>0</v>
      </c>
      <c r="J109" s="5"/>
      <c r="K109" s="7">
        <f>SUM(K101:K108)</f>
        <v>0</v>
      </c>
      <c r="L109" s="5"/>
      <c r="M109" s="12"/>
    </row>
    <row r="110" spans="1:13" x14ac:dyDescent="0.25">
      <c r="A110" s="18">
        <f t="shared" si="9"/>
        <v>6587</v>
      </c>
      <c r="B110" s="4" t="s">
        <v>10</v>
      </c>
      <c r="C110" s="8">
        <v>6587</v>
      </c>
      <c r="D110" s="11"/>
      <c r="E110" s="8">
        <v>0</v>
      </c>
      <c r="F110" s="11"/>
      <c r="G110" s="8">
        <v>0</v>
      </c>
      <c r="H110" s="3"/>
      <c r="I110" s="8">
        <v>0</v>
      </c>
      <c r="J110" s="3"/>
      <c r="K110" s="8">
        <v>0</v>
      </c>
      <c r="L110" s="3"/>
      <c r="M110" s="11"/>
    </row>
    <row r="111" spans="1:13" x14ac:dyDescent="0.25">
      <c r="A111" s="17">
        <f t="shared" si="9"/>
        <v>31163</v>
      </c>
      <c r="B111" s="6" t="s">
        <v>11</v>
      </c>
      <c r="C111" s="9">
        <f>C109-C110</f>
        <v>14113</v>
      </c>
      <c r="D111" s="12"/>
      <c r="E111" s="9">
        <f>E109-E110</f>
        <v>7700</v>
      </c>
      <c r="F111" s="12"/>
      <c r="G111" s="9">
        <f>G109-G110</f>
        <v>9350</v>
      </c>
      <c r="H111" s="5"/>
      <c r="I111" s="9">
        <f>I109-I110</f>
        <v>0</v>
      </c>
      <c r="J111" s="5"/>
      <c r="K111" s="9">
        <f>K109-K110</f>
        <v>0</v>
      </c>
      <c r="L111" s="5"/>
      <c r="M111" s="12"/>
    </row>
    <row r="112" spans="1:13" x14ac:dyDescent="0.25">
      <c r="A112" s="21">
        <v>46277</v>
      </c>
      <c r="B112" s="4" t="s">
        <v>6</v>
      </c>
      <c r="C112" s="3">
        <v>0</v>
      </c>
      <c r="D112" s="11"/>
      <c r="E112" s="3">
        <v>0</v>
      </c>
      <c r="F112" s="11"/>
      <c r="G112" s="3">
        <v>0</v>
      </c>
      <c r="H112" s="3"/>
      <c r="I112" s="3">
        <v>0</v>
      </c>
      <c r="J112" s="3"/>
      <c r="K112" s="3">
        <v>0</v>
      </c>
      <c r="L112" s="3"/>
      <c r="M112" s="11"/>
    </row>
    <row r="113" spans="1:13" x14ac:dyDescent="0.25">
      <c r="A113" s="20"/>
      <c r="B113" s="6" t="s">
        <v>7</v>
      </c>
      <c r="C113" s="5">
        <v>0</v>
      </c>
      <c r="D113" s="12"/>
      <c r="E113" s="5">
        <v>0</v>
      </c>
      <c r="F113" s="12"/>
      <c r="G113" s="5">
        <v>0</v>
      </c>
      <c r="H113" s="5"/>
      <c r="I113" s="5">
        <v>0</v>
      </c>
      <c r="J113" s="5"/>
      <c r="K113" s="5">
        <v>0</v>
      </c>
      <c r="L113" s="5"/>
      <c r="M113" s="12"/>
    </row>
    <row r="114" spans="1:13" x14ac:dyDescent="0.25">
      <c r="A114" s="20"/>
      <c r="B114" s="4" t="s">
        <v>8</v>
      </c>
      <c r="C114" s="3">
        <v>0</v>
      </c>
      <c r="D114" s="11"/>
      <c r="E114" s="3">
        <v>0</v>
      </c>
      <c r="F114" s="11"/>
      <c r="G114" s="3">
        <v>0</v>
      </c>
      <c r="H114" s="3"/>
      <c r="I114" s="3">
        <v>0</v>
      </c>
      <c r="J114" s="3"/>
      <c r="K114" s="3">
        <v>0</v>
      </c>
      <c r="L114" s="3"/>
      <c r="M114" s="11"/>
    </row>
    <row r="115" spans="1:13" x14ac:dyDescent="0.25">
      <c r="A115" s="20"/>
      <c r="B115" s="6" t="s">
        <v>15</v>
      </c>
      <c r="C115" s="5">
        <v>9800</v>
      </c>
      <c r="D115" s="12"/>
      <c r="E115" s="5">
        <v>1000</v>
      </c>
      <c r="F115" s="12"/>
      <c r="G115" s="5"/>
      <c r="H115" s="5"/>
      <c r="I115" s="5">
        <v>0</v>
      </c>
      <c r="J115" s="5"/>
      <c r="K115" s="5">
        <v>0</v>
      </c>
      <c r="L115" s="5"/>
      <c r="M115" s="12"/>
    </row>
    <row r="116" spans="1:13" x14ac:dyDescent="0.25">
      <c r="A116" s="20"/>
      <c r="B116" s="4" t="s">
        <v>16</v>
      </c>
      <c r="C116" s="3">
        <v>5300</v>
      </c>
      <c r="D116" s="11"/>
      <c r="E116" s="3">
        <v>2300</v>
      </c>
      <c r="F116" s="11"/>
      <c r="G116" s="3">
        <v>1000</v>
      </c>
      <c r="H116" s="3"/>
      <c r="I116" s="3">
        <v>0</v>
      </c>
      <c r="J116" s="3"/>
      <c r="K116" s="3">
        <v>0</v>
      </c>
      <c r="L116" s="3"/>
      <c r="M116" s="11"/>
    </row>
    <row r="117" spans="1:13" x14ac:dyDescent="0.25">
      <c r="A117" s="20"/>
      <c r="B117" s="6" t="s">
        <v>13</v>
      </c>
      <c r="C117" s="5">
        <v>8000</v>
      </c>
      <c r="D117" s="12"/>
      <c r="E117" s="5">
        <v>1100</v>
      </c>
      <c r="F117" s="12"/>
      <c r="G117" s="5">
        <v>800</v>
      </c>
      <c r="H117" s="5"/>
      <c r="I117" s="5">
        <v>0</v>
      </c>
      <c r="J117" s="5"/>
      <c r="K117" s="5">
        <v>0</v>
      </c>
      <c r="L117" s="5"/>
      <c r="M117" s="12"/>
    </row>
    <row r="118" spans="1:13" x14ac:dyDescent="0.25">
      <c r="A118" s="20"/>
      <c r="B118" s="4" t="s">
        <v>18</v>
      </c>
      <c r="C118" s="3">
        <v>2500</v>
      </c>
      <c r="D118" s="11"/>
      <c r="E118" s="3">
        <v>1000</v>
      </c>
      <c r="F118" s="11"/>
      <c r="G118" s="3">
        <v>2100</v>
      </c>
      <c r="H118" s="3"/>
      <c r="I118" s="3">
        <v>0</v>
      </c>
      <c r="J118" s="3"/>
      <c r="K118" s="3">
        <v>0</v>
      </c>
      <c r="L118" s="3"/>
      <c r="M118" s="11"/>
    </row>
    <row r="119" spans="1:13" x14ac:dyDescent="0.25">
      <c r="A119" s="20"/>
      <c r="B119" s="5" t="s">
        <v>17</v>
      </c>
      <c r="C119" s="5">
        <v>0</v>
      </c>
      <c r="D119" s="12"/>
      <c r="E119" s="5">
        <v>0</v>
      </c>
      <c r="F119" s="12"/>
      <c r="G119" s="5">
        <v>0</v>
      </c>
      <c r="H119" s="5"/>
      <c r="I119" s="5">
        <v>0</v>
      </c>
      <c r="J119" s="5"/>
      <c r="K119" s="5">
        <v>0</v>
      </c>
      <c r="L119" s="5"/>
      <c r="M119" s="12"/>
    </row>
    <row r="120" spans="1:13" x14ac:dyDescent="0.25">
      <c r="A120" s="18">
        <f t="shared" ref="A120:A122" si="10">SUM(C120,E120,G120,I120,K120)</f>
        <v>34900</v>
      </c>
      <c r="B120" s="4" t="s">
        <v>9</v>
      </c>
      <c r="C120" s="7">
        <f>SUM(C112:D119)</f>
        <v>25600</v>
      </c>
      <c r="D120" s="11"/>
      <c r="E120" s="7">
        <f>SUM(E112:E119)</f>
        <v>5400</v>
      </c>
      <c r="F120" s="11"/>
      <c r="G120" s="7">
        <f>SUM(G112:G119)</f>
        <v>3900</v>
      </c>
      <c r="H120" s="3"/>
      <c r="I120" s="7">
        <f>SUM(I112:I119)</f>
        <v>0</v>
      </c>
      <c r="J120" s="3"/>
      <c r="K120" s="7">
        <f>SUM(K112:K119)</f>
        <v>0</v>
      </c>
      <c r="L120" s="3"/>
      <c r="M120" s="11"/>
    </row>
    <row r="121" spans="1:13" x14ac:dyDescent="0.25">
      <c r="A121" s="17">
        <f t="shared" si="10"/>
        <v>2047</v>
      </c>
      <c r="B121" s="6" t="s">
        <v>10</v>
      </c>
      <c r="C121" s="8">
        <v>2047</v>
      </c>
      <c r="D121" s="12"/>
      <c r="E121" s="8">
        <v>0</v>
      </c>
      <c r="F121" s="12"/>
      <c r="G121" s="8">
        <v>0</v>
      </c>
      <c r="H121" s="5"/>
      <c r="I121" s="8">
        <v>0</v>
      </c>
      <c r="J121" s="5"/>
      <c r="K121" s="8">
        <v>0</v>
      </c>
      <c r="L121" s="5"/>
      <c r="M121" s="12"/>
    </row>
    <row r="122" spans="1:13" x14ac:dyDescent="0.25">
      <c r="A122" s="18">
        <f t="shared" si="10"/>
        <v>32853</v>
      </c>
      <c r="B122" s="4" t="s">
        <v>11</v>
      </c>
      <c r="C122" s="9">
        <f>C120-C121</f>
        <v>23553</v>
      </c>
      <c r="D122" s="11"/>
      <c r="E122" s="9">
        <f>E120-E121</f>
        <v>5400</v>
      </c>
      <c r="F122" s="11"/>
      <c r="G122" s="9">
        <f>G120-G121</f>
        <v>3900</v>
      </c>
      <c r="H122" s="3"/>
      <c r="I122" s="9">
        <f>I120-I121</f>
        <v>0</v>
      </c>
      <c r="J122" s="3"/>
      <c r="K122" s="9">
        <f>K120-K121</f>
        <v>0</v>
      </c>
      <c r="L122" s="3"/>
      <c r="M122" s="11"/>
    </row>
    <row r="123" spans="1:13" x14ac:dyDescent="0.25">
      <c r="A123" s="19">
        <v>46279</v>
      </c>
      <c r="B123" s="6" t="s">
        <v>6</v>
      </c>
      <c r="C123" s="5">
        <v>0</v>
      </c>
      <c r="D123" s="12"/>
      <c r="E123" s="5">
        <v>0</v>
      </c>
      <c r="F123" s="12"/>
      <c r="G123" s="5">
        <v>0</v>
      </c>
      <c r="H123" s="5"/>
      <c r="I123" s="5">
        <v>0</v>
      </c>
      <c r="J123" s="5"/>
      <c r="K123" s="5">
        <v>0</v>
      </c>
      <c r="L123" s="5"/>
      <c r="M123" s="12"/>
    </row>
    <row r="124" spans="1:13" x14ac:dyDescent="0.25">
      <c r="A124" s="20"/>
      <c r="B124" s="4" t="s">
        <v>7</v>
      </c>
      <c r="C124" s="3">
        <v>5100</v>
      </c>
      <c r="D124" s="11"/>
      <c r="E124" s="3">
        <v>4000</v>
      </c>
      <c r="F124" s="11"/>
      <c r="G124" s="3">
        <v>0</v>
      </c>
      <c r="H124" s="3"/>
      <c r="I124" s="3">
        <v>0</v>
      </c>
      <c r="J124" s="3"/>
      <c r="K124" s="3">
        <v>0</v>
      </c>
      <c r="L124" s="3"/>
      <c r="M124" s="11"/>
    </row>
    <row r="125" spans="1:13" x14ac:dyDescent="0.25">
      <c r="A125" s="20"/>
      <c r="B125" s="6" t="s">
        <v>8</v>
      </c>
      <c r="C125" s="5">
        <v>9100</v>
      </c>
      <c r="D125" s="12"/>
      <c r="E125" s="5">
        <v>0</v>
      </c>
      <c r="F125" s="12"/>
      <c r="G125" s="5">
        <v>2000</v>
      </c>
      <c r="H125" s="5"/>
      <c r="I125" s="5">
        <v>0</v>
      </c>
      <c r="J125" s="5"/>
      <c r="K125" s="5">
        <v>0</v>
      </c>
      <c r="L125" s="5"/>
      <c r="M125" s="12"/>
    </row>
    <row r="126" spans="1:13" x14ac:dyDescent="0.25">
      <c r="A126" s="20"/>
      <c r="B126" s="4" t="s">
        <v>15</v>
      </c>
      <c r="C126" s="3">
        <v>0</v>
      </c>
      <c r="D126" s="11"/>
      <c r="E126" s="3">
        <v>0</v>
      </c>
      <c r="F126" s="11"/>
      <c r="G126" s="3">
        <v>0</v>
      </c>
      <c r="H126" s="3"/>
      <c r="I126" s="3">
        <v>0</v>
      </c>
      <c r="J126" s="3"/>
      <c r="K126" s="3">
        <v>0</v>
      </c>
      <c r="L126" s="3"/>
      <c r="M126" s="11"/>
    </row>
    <row r="127" spans="1:13" x14ac:dyDescent="0.25">
      <c r="A127" s="20"/>
      <c r="B127" s="6" t="s">
        <v>16</v>
      </c>
      <c r="C127" s="5">
        <v>3000</v>
      </c>
      <c r="D127" s="12"/>
      <c r="E127" s="5">
        <v>5100</v>
      </c>
      <c r="F127" s="12"/>
      <c r="G127" s="5">
        <v>0</v>
      </c>
      <c r="H127" s="5"/>
      <c r="I127" s="5">
        <v>0</v>
      </c>
      <c r="J127" s="5"/>
      <c r="K127" s="5">
        <v>0</v>
      </c>
      <c r="L127" s="5"/>
      <c r="M127" s="12"/>
    </row>
    <row r="128" spans="1:13" x14ac:dyDescent="0.25">
      <c r="A128" s="20"/>
      <c r="B128" s="4" t="s">
        <v>13</v>
      </c>
      <c r="C128" s="3">
        <v>7000</v>
      </c>
      <c r="D128" s="11"/>
      <c r="E128" s="3">
        <v>2000</v>
      </c>
      <c r="F128" s="11"/>
      <c r="G128" s="3">
        <v>4000</v>
      </c>
      <c r="H128" s="3"/>
      <c r="I128" s="3">
        <v>0</v>
      </c>
      <c r="J128" s="3"/>
      <c r="K128" s="3">
        <v>0</v>
      </c>
      <c r="L128" s="3"/>
      <c r="M128" s="11"/>
    </row>
    <row r="129" spans="1:13" x14ac:dyDescent="0.25">
      <c r="A129" s="20"/>
      <c r="B129" s="6" t="s">
        <v>18</v>
      </c>
      <c r="C129" s="5">
        <v>3200</v>
      </c>
      <c r="D129" s="12"/>
      <c r="E129" s="5">
        <v>0</v>
      </c>
      <c r="F129" s="12"/>
      <c r="G129" s="5">
        <v>1100</v>
      </c>
      <c r="H129" s="5"/>
      <c r="I129" s="5">
        <v>0</v>
      </c>
      <c r="J129" s="5"/>
      <c r="K129" s="5">
        <v>0</v>
      </c>
      <c r="L129" s="5"/>
      <c r="M129" s="12"/>
    </row>
    <row r="130" spans="1:13" x14ac:dyDescent="0.25">
      <c r="A130" s="20"/>
      <c r="B130" s="3" t="s">
        <v>17</v>
      </c>
      <c r="C130" s="3">
        <v>0</v>
      </c>
      <c r="D130" s="11"/>
      <c r="E130" s="3">
        <v>0</v>
      </c>
      <c r="F130" s="11"/>
      <c r="G130" s="3">
        <v>0</v>
      </c>
      <c r="H130" s="3"/>
      <c r="I130" s="3">
        <v>0</v>
      </c>
      <c r="J130" s="3"/>
      <c r="K130" s="3">
        <v>0</v>
      </c>
      <c r="L130" s="3"/>
      <c r="M130" s="11"/>
    </row>
    <row r="131" spans="1:13" x14ac:dyDescent="0.25">
      <c r="A131" s="17">
        <f t="shared" ref="A131:A133" si="11">SUM(C131,E131,G131,I131,K131)</f>
        <v>45600</v>
      </c>
      <c r="B131" s="6" t="s">
        <v>9</v>
      </c>
      <c r="C131" s="7">
        <f>SUM(C123:C130)</f>
        <v>27400</v>
      </c>
      <c r="D131" s="12"/>
      <c r="E131" s="7">
        <f>SUM(E123:E130)</f>
        <v>11100</v>
      </c>
      <c r="F131" s="12"/>
      <c r="G131" s="7">
        <f>SUM(G123:G130)</f>
        <v>7100</v>
      </c>
      <c r="H131" s="5"/>
      <c r="I131" s="7">
        <f>SUM(I123:I130)</f>
        <v>0</v>
      </c>
      <c r="J131" s="5"/>
      <c r="K131" s="7">
        <f>SUM(K123:K130)</f>
        <v>0</v>
      </c>
      <c r="L131" s="5"/>
      <c r="M131" s="12"/>
    </row>
    <row r="132" spans="1:13" x14ac:dyDescent="0.25">
      <c r="A132" s="18">
        <f t="shared" si="11"/>
        <v>7958.9</v>
      </c>
      <c r="B132" s="4" t="s">
        <v>10</v>
      </c>
      <c r="C132" s="8">
        <v>7958.9</v>
      </c>
      <c r="D132" s="11"/>
      <c r="E132" s="8">
        <v>0</v>
      </c>
      <c r="F132" s="11"/>
      <c r="G132" s="8">
        <v>0</v>
      </c>
      <c r="H132" s="3"/>
      <c r="I132" s="8">
        <v>0</v>
      </c>
      <c r="J132" s="3"/>
      <c r="K132" s="8">
        <v>0</v>
      </c>
      <c r="L132" s="3"/>
      <c r="M132" s="11"/>
    </row>
    <row r="133" spans="1:13" x14ac:dyDescent="0.25">
      <c r="A133" s="17">
        <f t="shared" si="11"/>
        <v>37641.1</v>
      </c>
      <c r="B133" s="6" t="s">
        <v>11</v>
      </c>
      <c r="C133" s="9">
        <f>C131-C132</f>
        <v>19441.099999999999</v>
      </c>
      <c r="D133" s="12"/>
      <c r="E133" s="9">
        <f>E131-E132</f>
        <v>11100</v>
      </c>
      <c r="F133" s="12"/>
      <c r="G133" s="9">
        <f>G131-G132</f>
        <v>7100</v>
      </c>
      <c r="H133" s="5"/>
      <c r="I133" s="9">
        <f>I131-I132</f>
        <v>0</v>
      </c>
      <c r="J133" s="5"/>
      <c r="K133" s="9">
        <f>K131-K132</f>
        <v>0</v>
      </c>
      <c r="L133" s="5"/>
      <c r="M133" s="12"/>
    </row>
    <row r="134" spans="1:13" x14ac:dyDescent="0.25">
      <c r="A134" s="21">
        <v>46280</v>
      </c>
      <c r="B134" s="4" t="s">
        <v>6</v>
      </c>
      <c r="C134" s="3">
        <v>0</v>
      </c>
      <c r="D134" s="11"/>
      <c r="E134" s="3">
        <v>0</v>
      </c>
      <c r="F134" s="11"/>
      <c r="G134" s="3">
        <v>0</v>
      </c>
      <c r="H134" s="3"/>
      <c r="I134" s="3">
        <v>0</v>
      </c>
      <c r="J134" s="3"/>
      <c r="K134" s="3">
        <v>0</v>
      </c>
      <c r="L134" s="3"/>
      <c r="M134" s="11"/>
    </row>
    <row r="135" spans="1:13" x14ac:dyDescent="0.25">
      <c r="A135" s="20"/>
      <c r="B135" s="6" t="s">
        <v>7</v>
      </c>
      <c r="C135" s="5">
        <v>8000</v>
      </c>
      <c r="D135" s="12"/>
      <c r="E135" s="5">
        <v>6000</v>
      </c>
      <c r="F135" s="12"/>
      <c r="G135" s="5">
        <v>2000</v>
      </c>
      <c r="H135" s="5"/>
      <c r="I135" s="5">
        <v>0</v>
      </c>
      <c r="J135" s="5"/>
      <c r="K135" s="5">
        <v>0</v>
      </c>
      <c r="L135" s="5"/>
      <c r="M135" s="12"/>
    </row>
    <row r="136" spans="1:13" x14ac:dyDescent="0.25">
      <c r="A136" s="20"/>
      <c r="B136" s="4" t="s">
        <v>8</v>
      </c>
      <c r="C136" s="3">
        <v>8200</v>
      </c>
      <c r="D136" s="11"/>
      <c r="E136" s="3">
        <v>2000</v>
      </c>
      <c r="F136" s="11"/>
      <c r="G136" s="3">
        <v>2500</v>
      </c>
      <c r="H136" s="3"/>
      <c r="I136" s="3">
        <v>0</v>
      </c>
      <c r="J136" s="3"/>
      <c r="K136" s="3">
        <v>0</v>
      </c>
      <c r="L136" s="3"/>
      <c r="M136" s="11"/>
    </row>
    <row r="137" spans="1:13" x14ac:dyDescent="0.25">
      <c r="A137" s="20"/>
      <c r="B137" s="6" t="s">
        <v>15</v>
      </c>
      <c r="C137" s="5">
        <v>8300</v>
      </c>
      <c r="D137" s="12"/>
      <c r="E137" s="5">
        <v>1000</v>
      </c>
      <c r="F137" s="12"/>
      <c r="G137" s="5">
        <v>1000</v>
      </c>
      <c r="H137" s="5"/>
      <c r="I137" s="5">
        <v>0</v>
      </c>
      <c r="J137" s="5"/>
      <c r="K137" s="5">
        <v>0</v>
      </c>
      <c r="L137" s="5"/>
      <c r="M137" s="12"/>
    </row>
    <row r="138" spans="1:13" x14ac:dyDescent="0.25">
      <c r="A138" s="20"/>
      <c r="B138" s="4" t="s">
        <v>16</v>
      </c>
      <c r="C138" s="3">
        <v>0</v>
      </c>
      <c r="D138" s="11"/>
      <c r="E138" s="3">
        <v>0</v>
      </c>
      <c r="F138" s="11"/>
      <c r="G138" s="3">
        <v>0</v>
      </c>
      <c r="H138" s="3"/>
      <c r="I138" s="3">
        <v>0</v>
      </c>
      <c r="J138" s="3"/>
      <c r="K138" s="3">
        <v>0</v>
      </c>
      <c r="L138" s="3"/>
      <c r="M138" s="11"/>
    </row>
    <row r="139" spans="1:13" x14ac:dyDescent="0.25">
      <c r="A139" s="20"/>
      <c r="B139" s="6" t="s">
        <v>13</v>
      </c>
      <c r="C139" s="5">
        <v>2100</v>
      </c>
      <c r="D139" s="12"/>
      <c r="E139" s="5">
        <v>2000</v>
      </c>
      <c r="F139" s="12"/>
      <c r="G139" s="5">
        <v>1000</v>
      </c>
      <c r="H139" s="5"/>
      <c r="I139" s="5">
        <v>0</v>
      </c>
      <c r="J139" s="5"/>
      <c r="K139" s="5">
        <v>0</v>
      </c>
      <c r="L139" s="5"/>
      <c r="M139" s="12"/>
    </row>
    <row r="140" spans="1:13" x14ac:dyDescent="0.25">
      <c r="A140" s="20"/>
      <c r="B140" s="4" t="s">
        <v>18</v>
      </c>
      <c r="C140" s="3">
        <v>6000</v>
      </c>
      <c r="D140" s="11"/>
      <c r="E140" s="3">
        <v>3500</v>
      </c>
      <c r="F140" s="11"/>
      <c r="G140" s="3">
        <v>2000</v>
      </c>
      <c r="H140" s="3"/>
      <c r="I140" s="3">
        <v>0</v>
      </c>
      <c r="J140" s="3"/>
      <c r="K140" s="3">
        <v>0</v>
      </c>
      <c r="L140" s="3"/>
      <c r="M140" s="11"/>
    </row>
    <row r="141" spans="1:13" x14ac:dyDescent="0.25">
      <c r="A141" s="20"/>
      <c r="B141" s="5" t="s">
        <v>17</v>
      </c>
      <c r="C141" s="5">
        <v>0</v>
      </c>
      <c r="D141" s="12"/>
      <c r="E141" s="5">
        <v>0</v>
      </c>
      <c r="F141" s="12"/>
      <c r="G141" s="5">
        <v>0</v>
      </c>
      <c r="H141" s="5"/>
      <c r="I141" s="5">
        <v>0</v>
      </c>
      <c r="J141" s="5"/>
      <c r="K141" s="5">
        <v>0</v>
      </c>
      <c r="L141" s="5"/>
      <c r="M141" s="12"/>
    </row>
    <row r="142" spans="1:13" x14ac:dyDescent="0.25">
      <c r="A142" s="18">
        <f t="shared" ref="A142:A144" si="12">SUM(C142,E142,G142,I142,K142)</f>
        <v>55600</v>
      </c>
      <c r="B142" s="4" t="s">
        <v>9</v>
      </c>
      <c r="C142" s="7">
        <f>SUM(C134:C141)</f>
        <v>32600</v>
      </c>
      <c r="D142" s="11"/>
      <c r="E142" s="7">
        <f>SUM(E134:E141)</f>
        <v>14500</v>
      </c>
      <c r="F142" s="11"/>
      <c r="G142" s="7">
        <f>SUM(G134:G141)</f>
        <v>8500</v>
      </c>
      <c r="H142" s="3"/>
      <c r="I142" s="7">
        <f>SUM(I134:I141)</f>
        <v>0</v>
      </c>
      <c r="J142" s="3"/>
      <c r="K142" s="7">
        <f>SUM(K134:K141)</f>
        <v>0</v>
      </c>
      <c r="L142" s="3"/>
      <c r="M142" s="11"/>
    </row>
    <row r="143" spans="1:13" x14ac:dyDescent="0.25">
      <c r="A143" s="17">
        <f t="shared" si="12"/>
        <v>2652.25</v>
      </c>
      <c r="B143" s="6" t="s">
        <v>10</v>
      </c>
      <c r="C143" s="8">
        <v>2652.25</v>
      </c>
      <c r="D143" s="12"/>
      <c r="E143" s="8">
        <v>0</v>
      </c>
      <c r="F143" s="12"/>
      <c r="G143" s="8">
        <v>0</v>
      </c>
      <c r="H143" s="5"/>
      <c r="I143" s="8">
        <v>0</v>
      </c>
      <c r="J143" s="5"/>
      <c r="K143" s="8">
        <v>0</v>
      </c>
      <c r="L143" s="5"/>
      <c r="M143" s="12"/>
    </row>
    <row r="144" spans="1:13" x14ac:dyDescent="0.25">
      <c r="A144" s="18">
        <f t="shared" si="12"/>
        <v>52947.75</v>
      </c>
      <c r="B144" s="4" t="s">
        <v>11</v>
      </c>
      <c r="C144" s="9">
        <f>C142-C143</f>
        <v>29947.75</v>
      </c>
      <c r="D144" s="11"/>
      <c r="E144" s="9">
        <f>E142-E143</f>
        <v>14500</v>
      </c>
      <c r="F144" s="11"/>
      <c r="G144" s="9">
        <f>G142-G143</f>
        <v>8500</v>
      </c>
      <c r="H144" s="3"/>
      <c r="I144" s="9">
        <f>I142-I143</f>
        <v>0</v>
      </c>
      <c r="J144" s="3"/>
      <c r="K144" s="9">
        <f>K142-K143</f>
        <v>0</v>
      </c>
      <c r="L144" s="3"/>
      <c r="M144" s="11"/>
    </row>
    <row r="145" spans="1:13" x14ac:dyDescent="0.25">
      <c r="A145" s="19">
        <v>46281</v>
      </c>
      <c r="B145" s="6" t="s">
        <v>6</v>
      </c>
      <c r="C145" s="5">
        <v>0</v>
      </c>
      <c r="D145" s="12"/>
      <c r="E145" s="5">
        <v>0</v>
      </c>
      <c r="F145" s="12"/>
      <c r="G145" s="5">
        <v>0</v>
      </c>
      <c r="H145" s="5"/>
      <c r="I145" s="5">
        <v>0</v>
      </c>
      <c r="J145" s="5"/>
      <c r="K145" s="5">
        <v>0</v>
      </c>
      <c r="L145" s="5"/>
      <c r="M145" s="12"/>
    </row>
    <row r="146" spans="1:13" x14ac:dyDescent="0.25">
      <c r="A146" s="20"/>
      <c r="B146" s="4" t="s">
        <v>7</v>
      </c>
      <c r="C146" s="3">
        <v>5100</v>
      </c>
      <c r="D146" s="11"/>
      <c r="E146" s="3">
        <v>2000</v>
      </c>
      <c r="F146" s="11"/>
      <c r="G146" s="3">
        <v>0</v>
      </c>
      <c r="H146" s="3"/>
      <c r="I146" s="3">
        <v>0</v>
      </c>
      <c r="J146" s="3"/>
      <c r="K146" s="3">
        <v>0</v>
      </c>
      <c r="L146" s="3"/>
      <c r="M146" s="11"/>
    </row>
    <row r="147" spans="1:13" x14ac:dyDescent="0.25">
      <c r="A147" s="20"/>
      <c r="B147" s="6" t="s">
        <v>8</v>
      </c>
      <c r="C147" s="5">
        <v>6300</v>
      </c>
      <c r="D147" s="12"/>
      <c r="E147" s="5">
        <v>0</v>
      </c>
      <c r="F147" s="12"/>
      <c r="G147" s="5">
        <v>1000</v>
      </c>
      <c r="H147" s="5"/>
      <c r="I147" s="5">
        <v>0</v>
      </c>
      <c r="J147" s="5"/>
      <c r="K147" s="5">
        <v>0</v>
      </c>
      <c r="L147" s="5"/>
      <c r="M147" s="12"/>
    </row>
    <row r="148" spans="1:13" x14ac:dyDescent="0.25">
      <c r="A148" s="20"/>
      <c r="B148" s="4" t="s">
        <v>15</v>
      </c>
      <c r="C148" s="3">
        <v>6200</v>
      </c>
      <c r="D148" s="11"/>
      <c r="E148" s="3">
        <v>0</v>
      </c>
      <c r="F148" s="11"/>
      <c r="G148" s="3">
        <v>1000</v>
      </c>
      <c r="H148" s="3"/>
      <c r="I148" s="3">
        <v>0</v>
      </c>
      <c r="J148" s="3"/>
      <c r="K148" s="3">
        <v>0</v>
      </c>
      <c r="L148" s="3"/>
      <c r="M148" s="11"/>
    </row>
    <row r="149" spans="1:13" x14ac:dyDescent="0.25">
      <c r="A149" s="20"/>
      <c r="B149" s="6" t="s">
        <v>16</v>
      </c>
      <c r="C149" s="5">
        <v>5100</v>
      </c>
      <c r="D149" s="12"/>
      <c r="E149" s="5">
        <v>1000</v>
      </c>
      <c r="F149" s="12"/>
      <c r="G149" s="5">
        <v>1400</v>
      </c>
      <c r="H149" s="5"/>
      <c r="I149" s="5">
        <v>0</v>
      </c>
      <c r="J149" s="5"/>
      <c r="K149" s="5">
        <v>0</v>
      </c>
      <c r="L149" s="5"/>
      <c r="M149" s="12"/>
    </row>
    <row r="150" spans="1:13" x14ac:dyDescent="0.25">
      <c r="A150" s="20"/>
      <c r="B150" s="4" t="s">
        <v>13</v>
      </c>
      <c r="C150" s="3">
        <v>5500</v>
      </c>
      <c r="D150" s="11"/>
      <c r="E150" s="3">
        <v>4600</v>
      </c>
      <c r="F150" s="11"/>
      <c r="G150" s="3">
        <v>0</v>
      </c>
      <c r="H150" s="3"/>
      <c r="I150" s="3">
        <v>0</v>
      </c>
      <c r="J150" s="3"/>
      <c r="K150" s="3">
        <v>0</v>
      </c>
      <c r="L150" s="3"/>
      <c r="M150" s="11"/>
    </row>
    <row r="151" spans="1:13" x14ac:dyDescent="0.25">
      <c r="A151" s="20"/>
      <c r="B151" s="6" t="s">
        <v>18</v>
      </c>
      <c r="C151" s="5">
        <v>4950</v>
      </c>
      <c r="D151" s="12"/>
      <c r="E151" s="5">
        <v>2000</v>
      </c>
      <c r="F151" s="12"/>
      <c r="G151" s="5">
        <v>6200</v>
      </c>
      <c r="H151" s="5"/>
      <c r="I151" s="5">
        <v>0</v>
      </c>
      <c r="J151" s="5"/>
      <c r="K151" s="5">
        <v>0</v>
      </c>
      <c r="L151" s="5"/>
      <c r="M151" s="12"/>
    </row>
    <row r="152" spans="1:13" x14ac:dyDescent="0.25">
      <c r="A152" s="20"/>
      <c r="B152" s="3" t="s">
        <v>17</v>
      </c>
      <c r="C152" s="3">
        <v>0</v>
      </c>
      <c r="D152" s="11"/>
      <c r="E152" s="3">
        <v>0</v>
      </c>
      <c r="F152" s="11"/>
      <c r="G152" s="3">
        <v>0</v>
      </c>
      <c r="H152" s="3"/>
      <c r="I152" s="3">
        <v>0</v>
      </c>
      <c r="J152" s="3"/>
      <c r="K152" s="3">
        <v>0</v>
      </c>
      <c r="L152" s="3"/>
      <c r="M152" s="11"/>
    </row>
    <row r="153" spans="1:13" x14ac:dyDescent="0.25">
      <c r="A153" s="17">
        <f t="shared" ref="A153:A155" si="13">SUM(C153,E153,G153,I153,K153)</f>
        <v>52350</v>
      </c>
      <c r="B153" s="6" t="s">
        <v>9</v>
      </c>
      <c r="C153" s="7">
        <f>SUM(C145:C152)</f>
        <v>33150</v>
      </c>
      <c r="D153" s="12"/>
      <c r="E153" s="7">
        <f>SUM(E145:E152)</f>
        <v>9600</v>
      </c>
      <c r="F153" s="12"/>
      <c r="G153" s="7">
        <f>SUM(G145:G152)</f>
        <v>9600</v>
      </c>
      <c r="H153" s="5"/>
      <c r="I153" s="7">
        <f>SUM(I145:I152)</f>
        <v>0</v>
      </c>
      <c r="J153" s="5"/>
      <c r="K153" s="7">
        <f>SUM(K145:K152)</f>
        <v>0</v>
      </c>
      <c r="L153" s="5"/>
      <c r="M153" s="12"/>
    </row>
    <row r="154" spans="1:13" x14ac:dyDescent="0.25">
      <c r="A154" s="18">
        <f t="shared" si="13"/>
        <v>670</v>
      </c>
      <c r="B154" s="4" t="s">
        <v>10</v>
      </c>
      <c r="C154" s="8">
        <v>670</v>
      </c>
      <c r="D154" s="11"/>
      <c r="E154" s="8">
        <v>0</v>
      </c>
      <c r="F154" s="11"/>
      <c r="G154" s="8">
        <v>0</v>
      </c>
      <c r="H154" s="3"/>
      <c r="I154" s="8">
        <v>0</v>
      </c>
      <c r="J154" s="3"/>
      <c r="K154" s="8">
        <v>0</v>
      </c>
      <c r="L154" s="3"/>
      <c r="M154" s="11"/>
    </row>
    <row r="155" spans="1:13" x14ac:dyDescent="0.25">
      <c r="A155" s="17">
        <f t="shared" si="13"/>
        <v>51680</v>
      </c>
      <c r="B155" s="6" t="s">
        <v>11</v>
      </c>
      <c r="C155" s="9">
        <f>C153-C154</f>
        <v>32480</v>
      </c>
      <c r="D155" s="12"/>
      <c r="E155" s="9">
        <f>E153-E154</f>
        <v>9600</v>
      </c>
      <c r="F155" s="12"/>
      <c r="G155" s="9">
        <f>G153-G154</f>
        <v>9600</v>
      </c>
      <c r="H155" s="5"/>
      <c r="I155" s="9">
        <f>I153-I154</f>
        <v>0</v>
      </c>
      <c r="J155" s="5"/>
      <c r="K155" s="9">
        <f>K153-K154</f>
        <v>0</v>
      </c>
      <c r="L155" s="5"/>
      <c r="M155" s="12"/>
    </row>
    <row r="156" spans="1:13" x14ac:dyDescent="0.25">
      <c r="A156" s="2"/>
      <c r="B156" s="4"/>
      <c r="C156" s="3"/>
      <c r="D156" s="11"/>
      <c r="E156" s="3"/>
      <c r="F156" s="11"/>
      <c r="G156" s="3"/>
      <c r="H156" s="3"/>
      <c r="I156" s="3"/>
      <c r="J156" s="3"/>
      <c r="K156" s="3"/>
      <c r="L156" s="3"/>
      <c r="M156" s="11"/>
    </row>
    <row r="157" spans="1:13" x14ac:dyDescent="0.25">
      <c r="A157" s="10"/>
      <c r="B157" s="6"/>
      <c r="C157" s="5"/>
      <c r="D157" s="12"/>
      <c r="E157" s="5"/>
      <c r="F157" s="12"/>
      <c r="G157" s="5"/>
      <c r="H157" s="5"/>
      <c r="I157" s="5"/>
      <c r="J157" s="5"/>
      <c r="K157" s="5"/>
      <c r="L157" s="5"/>
      <c r="M157" s="12"/>
    </row>
    <row r="158" spans="1:13" x14ac:dyDescent="0.25">
      <c r="A158" s="2"/>
      <c r="B158" s="4"/>
      <c r="C158" s="3"/>
      <c r="D158" s="11"/>
      <c r="E158" s="3"/>
      <c r="F158" s="11"/>
      <c r="G158" s="3"/>
      <c r="H158" s="3"/>
      <c r="I158" s="3"/>
      <c r="J158" s="3"/>
      <c r="K158" s="3"/>
      <c r="L158" s="3"/>
      <c r="M158" s="11"/>
    </row>
    <row r="159" spans="1:13" x14ac:dyDescent="0.25">
      <c r="A159" s="10"/>
      <c r="B159" s="6"/>
      <c r="C159" s="5"/>
      <c r="D159" s="12"/>
      <c r="E159" s="5"/>
      <c r="F159" s="12"/>
      <c r="G159" s="5"/>
      <c r="H159" s="5"/>
      <c r="I159" s="5"/>
      <c r="J159" s="5"/>
      <c r="K159" s="5"/>
      <c r="L159" s="5"/>
      <c r="M159" s="12"/>
    </row>
    <row r="160" spans="1:13" x14ac:dyDescent="0.25">
      <c r="A160" s="2"/>
      <c r="B160" s="4"/>
      <c r="C160" s="3"/>
      <c r="D160" s="11"/>
      <c r="E160" s="3"/>
      <c r="F160" s="11"/>
      <c r="G160" s="3"/>
      <c r="H160" s="3"/>
      <c r="I160" s="3"/>
      <c r="J160" s="3"/>
      <c r="K160" s="3"/>
      <c r="L160" s="3"/>
      <c r="M160" s="11"/>
    </row>
    <row r="161" spans="1:13" x14ac:dyDescent="0.25">
      <c r="A161" s="10"/>
      <c r="B161" s="6"/>
      <c r="C161" s="5"/>
      <c r="D161" s="12"/>
      <c r="E161" s="5"/>
      <c r="F161" s="12"/>
      <c r="G161" s="5"/>
      <c r="H161" s="5"/>
      <c r="I161" s="5"/>
      <c r="J161" s="5"/>
      <c r="K161" s="5"/>
      <c r="L161" s="5"/>
      <c r="M161" s="12"/>
    </row>
    <row r="162" spans="1:13" x14ac:dyDescent="0.25">
      <c r="A162" s="2"/>
      <c r="B162" s="4"/>
      <c r="C162" s="3"/>
      <c r="D162" s="11"/>
      <c r="E162" s="3"/>
      <c r="F162" s="11"/>
      <c r="G162" s="3"/>
      <c r="H162" s="3"/>
      <c r="I162" s="3"/>
      <c r="J162" s="3"/>
      <c r="K162" s="3"/>
      <c r="L162" s="3"/>
      <c r="M162" s="11"/>
    </row>
    <row r="163" spans="1:13" x14ac:dyDescent="0.25">
      <c r="A163" s="10"/>
      <c r="B163" s="6"/>
      <c r="C163" s="5"/>
      <c r="D163" s="12"/>
      <c r="E163" s="5"/>
      <c r="F163" s="12"/>
      <c r="G163" s="5"/>
      <c r="H163" s="5"/>
      <c r="I163" s="5"/>
      <c r="J163" s="5"/>
      <c r="K163" s="5"/>
      <c r="L163" s="5"/>
      <c r="M163" s="12"/>
    </row>
    <row r="164" spans="1:13" x14ac:dyDescent="0.25">
      <c r="A164" s="2"/>
      <c r="B164" s="4"/>
      <c r="C164" s="3"/>
      <c r="D164" s="11"/>
      <c r="E164" s="3"/>
      <c r="F164" s="11"/>
      <c r="G164" s="3"/>
      <c r="H164" s="3"/>
      <c r="I164" s="3"/>
      <c r="J164" s="3"/>
      <c r="K164" s="3"/>
      <c r="L164" s="3"/>
      <c r="M164" s="11"/>
    </row>
    <row r="165" spans="1:13" x14ac:dyDescent="0.25">
      <c r="A165" s="10"/>
      <c r="B165" s="6"/>
      <c r="C165" s="5"/>
      <c r="D165" s="12"/>
      <c r="E165" s="5"/>
      <c r="F165" s="12"/>
      <c r="G165" s="5"/>
      <c r="H165" s="5"/>
      <c r="I165" s="5"/>
      <c r="J165" s="5"/>
      <c r="K165" s="5"/>
      <c r="L165" s="5"/>
      <c r="M165" s="12"/>
    </row>
    <row r="166" spans="1:13" x14ac:dyDescent="0.25">
      <c r="A166" s="2"/>
      <c r="B166" s="4"/>
      <c r="C166" s="3"/>
      <c r="D166" s="11"/>
      <c r="E166" s="3"/>
      <c r="F166" s="11"/>
      <c r="G166" s="3"/>
      <c r="H166" s="3"/>
      <c r="I166" s="3"/>
      <c r="J166" s="3"/>
      <c r="K166" s="3"/>
      <c r="L166" s="3"/>
      <c r="M166" s="11"/>
    </row>
    <row r="167" spans="1:13" x14ac:dyDescent="0.25">
      <c r="A167" s="10"/>
      <c r="B167" s="6"/>
      <c r="C167" s="5"/>
      <c r="D167" s="12"/>
      <c r="E167" s="5"/>
      <c r="F167" s="12"/>
      <c r="G167" s="5"/>
      <c r="H167" s="5"/>
      <c r="I167" s="5"/>
      <c r="J167" s="5"/>
      <c r="K167" s="5"/>
      <c r="L167" s="5"/>
      <c r="M167" s="12"/>
    </row>
    <row r="168" spans="1:13" x14ac:dyDescent="0.25">
      <c r="A168" s="2"/>
      <c r="B168" s="4"/>
      <c r="C168" s="3"/>
      <c r="D168" s="11"/>
      <c r="E168" s="3"/>
      <c r="F168" s="11"/>
      <c r="G168" s="3"/>
      <c r="H168" s="3"/>
      <c r="I168" s="3"/>
      <c r="J168" s="3"/>
      <c r="K168" s="3"/>
      <c r="L168" s="3"/>
      <c r="M168" s="11"/>
    </row>
    <row r="169" spans="1:13" x14ac:dyDescent="0.25">
      <c r="A169" s="10"/>
      <c r="B169" s="6"/>
      <c r="C169" s="5"/>
      <c r="D169" s="12"/>
      <c r="E169" s="5"/>
      <c r="F169" s="12"/>
      <c r="G169" s="5"/>
      <c r="H169" s="5"/>
      <c r="I169" s="5"/>
      <c r="J169" s="5"/>
      <c r="K169" s="5"/>
      <c r="L169" s="5"/>
      <c r="M169" s="12"/>
    </row>
    <row r="170" spans="1:13" x14ac:dyDescent="0.25">
      <c r="A170" s="2"/>
      <c r="B170" s="4"/>
      <c r="C170" s="3"/>
      <c r="D170" s="11"/>
      <c r="E170" s="3"/>
      <c r="F170" s="11"/>
      <c r="G170" s="3"/>
      <c r="H170" s="3"/>
      <c r="I170" s="3"/>
      <c r="J170" s="3"/>
      <c r="K170" s="3"/>
      <c r="L170" s="3"/>
      <c r="M170" s="11"/>
    </row>
    <row r="171" spans="1:13" x14ac:dyDescent="0.25">
      <c r="A171" s="10"/>
      <c r="B171" s="6"/>
      <c r="C171" s="5"/>
      <c r="D171" s="12"/>
      <c r="E171" s="5"/>
      <c r="F171" s="12"/>
      <c r="G171" s="5"/>
      <c r="H171" s="5"/>
      <c r="I171" s="5"/>
      <c r="J171" s="5"/>
      <c r="K171" s="5"/>
      <c r="L171" s="5"/>
      <c r="M171" s="12"/>
    </row>
    <row r="172" spans="1:13" x14ac:dyDescent="0.25">
      <c r="A172" s="2"/>
      <c r="B172" s="4"/>
      <c r="C172" s="3"/>
      <c r="D172" s="11"/>
      <c r="E172" s="3"/>
      <c r="F172" s="11"/>
      <c r="G172" s="3"/>
      <c r="H172" s="3"/>
      <c r="I172" s="3"/>
      <c r="J172" s="3"/>
      <c r="K172" s="3"/>
      <c r="L172" s="3"/>
      <c r="M172" s="11"/>
    </row>
    <row r="173" spans="1:13" x14ac:dyDescent="0.25">
      <c r="A173" s="10"/>
      <c r="B173" s="6"/>
      <c r="C173" s="5"/>
      <c r="D173" s="12"/>
      <c r="E173" s="5"/>
      <c r="F173" s="12"/>
      <c r="G173" s="5"/>
      <c r="H173" s="5"/>
      <c r="I173" s="5"/>
      <c r="J173" s="5"/>
      <c r="K173" s="5"/>
      <c r="L173" s="5"/>
      <c r="M173" s="12"/>
    </row>
    <row r="174" spans="1:13" x14ac:dyDescent="0.25">
      <c r="A174" s="2"/>
      <c r="B174" s="4"/>
      <c r="C174" s="3"/>
      <c r="D174" s="11"/>
      <c r="E174" s="3"/>
      <c r="F174" s="11"/>
      <c r="G174" s="3"/>
      <c r="H174" s="3"/>
      <c r="I174" s="3"/>
      <c r="J174" s="3"/>
      <c r="K174" s="3"/>
      <c r="L174" s="3"/>
      <c r="M174" s="11"/>
    </row>
    <row r="175" spans="1:13" x14ac:dyDescent="0.25">
      <c r="A175" s="10"/>
      <c r="B175" s="6"/>
      <c r="C175" s="5"/>
      <c r="D175" s="12"/>
      <c r="E175" s="5"/>
      <c r="F175" s="12"/>
      <c r="G175" s="5"/>
      <c r="H175" s="5"/>
      <c r="I175" s="5"/>
      <c r="J175" s="5"/>
      <c r="K175" s="5"/>
      <c r="L175" s="5"/>
      <c r="M175" s="12"/>
    </row>
    <row r="176" spans="1:13" x14ac:dyDescent="0.25">
      <c r="A176" s="2"/>
      <c r="B176" s="4"/>
      <c r="C176" s="3"/>
      <c r="D176" s="11"/>
      <c r="E176" s="3"/>
      <c r="F176" s="11"/>
      <c r="G176" s="3"/>
      <c r="H176" s="3"/>
      <c r="I176" s="3"/>
      <c r="J176" s="3"/>
      <c r="K176" s="3"/>
      <c r="L176" s="3"/>
      <c r="M176" s="11"/>
    </row>
    <row r="177" spans="1:13" x14ac:dyDescent="0.25">
      <c r="A177" s="10"/>
      <c r="B177" s="6"/>
      <c r="C177" s="5"/>
      <c r="D177" s="12"/>
      <c r="E177" s="5"/>
      <c r="F177" s="12"/>
      <c r="G177" s="5"/>
      <c r="H177" s="5"/>
      <c r="I177" s="5"/>
      <c r="J177" s="5"/>
      <c r="K177" s="5"/>
      <c r="L177" s="5"/>
      <c r="M177" s="12"/>
    </row>
    <row r="178" spans="1:13" x14ac:dyDescent="0.25">
      <c r="A178" s="2"/>
      <c r="B178" s="4"/>
      <c r="C178" s="3"/>
      <c r="D178" s="11"/>
      <c r="E178" s="3"/>
      <c r="F178" s="11"/>
      <c r="G178" s="3"/>
      <c r="H178" s="3"/>
      <c r="I178" s="3"/>
      <c r="J178" s="3"/>
      <c r="K178" s="3"/>
      <c r="L178" s="3"/>
      <c r="M178" s="11"/>
    </row>
    <row r="179" spans="1:13" x14ac:dyDescent="0.25">
      <c r="A179" s="10"/>
      <c r="B179" s="6"/>
      <c r="C179" s="5"/>
      <c r="D179" s="12"/>
      <c r="E179" s="5"/>
      <c r="F179" s="12"/>
      <c r="G179" s="5"/>
      <c r="H179" s="5"/>
      <c r="I179" s="5"/>
      <c r="J179" s="5"/>
      <c r="K179" s="5"/>
      <c r="L179" s="5"/>
      <c r="M179" s="12"/>
    </row>
    <row r="180" spans="1:13" x14ac:dyDescent="0.25">
      <c r="A180" s="2"/>
      <c r="B180" s="4"/>
      <c r="C180" s="3"/>
      <c r="D180" s="11"/>
      <c r="E180" s="3"/>
      <c r="F180" s="11"/>
      <c r="G180" s="3"/>
      <c r="H180" s="3"/>
      <c r="I180" s="3"/>
      <c r="J180" s="3"/>
      <c r="K180" s="3"/>
      <c r="L180" s="3"/>
      <c r="M180" s="11"/>
    </row>
    <row r="181" spans="1:13" x14ac:dyDescent="0.25">
      <c r="A181" s="10"/>
      <c r="B181" s="6"/>
      <c r="C181" s="5"/>
      <c r="D181" s="12"/>
      <c r="E181" s="5"/>
      <c r="F181" s="12"/>
      <c r="G181" s="5"/>
      <c r="H181" s="5"/>
      <c r="I181" s="5"/>
      <c r="J181" s="5"/>
      <c r="K181" s="5"/>
      <c r="L181" s="5"/>
      <c r="M181" s="12"/>
    </row>
    <row r="182" spans="1:13" x14ac:dyDescent="0.25">
      <c r="A182" s="2"/>
      <c r="B182" s="4"/>
      <c r="C182" s="3"/>
      <c r="D182" s="11"/>
      <c r="E182" s="3"/>
      <c r="F182" s="11"/>
      <c r="G182" s="3"/>
      <c r="H182" s="3"/>
      <c r="I182" s="3"/>
      <c r="J182" s="3"/>
      <c r="K182" s="3"/>
      <c r="L182" s="3"/>
      <c r="M182" s="11"/>
    </row>
    <row r="183" spans="1:13" x14ac:dyDescent="0.25">
      <c r="A183" s="10"/>
      <c r="B183" s="6"/>
      <c r="C183" s="5"/>
      <c r="D183" s="12"/>
      <c r="E183" s="5"/>
      <c r="F183" s="12"/>
      <c r="G183" s="5"/>
      <c r="H183" s="5"/>
      <c r="I183" s="5"/>
      <c r="J183" s="5"/>
      <c r="K183" s="5"/>
      <c r="L183" s="5"/>
      <c r="M183" s="12"/>
    </row>
    <row r="184" spans="1:13" x14ac:dyDescent="0.25">
      <c r="A184" s="2"/>
      <c r="B184" s="4"/>
      <c r="C184" s="3"/>
      <c r="D184" s="11"/>
      <c r="E184" s="3"/>
      <c r="F184" s="11"/>
      <c r="G184" s="3"/>
      <c r="H184" s="3"/>
      <c r="I184" s="3"/>
      <c r="J184" s="3"/>
      <c r="K184" s="3"/>
      <c r="L184" s="3"/>
      <c r="M184" s="11"/>
    </row>
    <row r="185" spans="1:13" x14ac:dyDescent="0.25">
      <c r="A185" s="10"/>
      <c r="B185" s="6"/>
      <c r="C185" s="5"/>
      <c r="D185" s="12"/>
      <c r="E185" s="5"/>
      <c r="F185" s="12"/>
      <c r="G185" s="5"/>
      <c r="H185" s="5"/>
      <c r="I185" s="5"/>
      <c r="J185" s="5"/>
      <c r="K185" s="5"/>
      <c r="L185" s="5"/>
      <c r="M185" s="12"/>
    </row>
    <row r="186" spans="1:13" x14ac:dyDescent="0.25">
      <c r="A186" s="2"/>
      <c r="B186" s="4"/>
      <c r="C186" s="3"/>
      <c r="D186" s="11"/>
      <c r="E186" s="3"/>
      <c r="F186" s="11"/>
      <c r="G186" s="3"/>
      <c r="H186" s="3"/>
      <c r="I186" s="3"/>
      <c r="J186" s="3"/>
      <c r="K186" s="3"/>
      <c r="L186" s="3"/>
      <c r="M186" s="11"/>
    </row>
    <row r="187" spans="1:13" x14ac:dyDescent="0.25">
      <c r="A187" s="10"/>
      <c r="B187" s="6"/>
      <c r="C187" s="5"/>
      <c r="D187" s="12"/>
      <c r="E187" s="5"/>
      <c r="F187" s="12"/>
      <c r="G187" s="5"/>
      <c r="H187" s="5"/>
      <c r="I187" s="5"/>
      <c r="J187" s="5"/>
      <c r="K187" s="5"/>
      <c r="L187" s="5"/>
      <c r="M187" s="12"/>
    </row>
    <row r="188" spans="1:13" x14ac:dyDescent="0.25">
      <c r="A188" s="2"/>
      <c r="B188" s="4"/>
      <c r="C188" s="3"/>
      <c r="D188" s="11"/>
      <c r="E188" s="3"/>
      <c r="F188" s="11"/>
      <c r="G188" s="3"/>
      <c r="H188" s="3"/>
      <c r="I188" s="3"/>
      <c r="J188" s="3"/>
      <c r="K188" s="3"/>
      <c r="L188" s="3"/>
      <c r="M188" s="11"/>
    </row>
    <row r="189" spans="1:13" x14ac:dyDescent="0.25">
      <c r="A189" s="10"/>
      <c r="B189" s="6"/>
      <c r="C189" s="5"/>
      <c r="D189" s="12"/>
      <c r="E189" s="5"/>
      <c r="F189" s="12"/>
      <c r="G189" s="5"/>
      <c r="H189" s="5"/>
      <c r="I189" s="5"/>
      <c r="J189" s="5"/>
      <c r="K189" s="5"/>
      <c r="L189" s="5"/>
      <c r="M189" s="12"/>
    </row>
    <row r="190" spans="1:13" x14ac:dyDescent="0.25">
      <c r="A190" s="2"/>
      <c r="B190" s="4"/>
      <c r="C190" s="3"/>
      <c r="D190" s="11"/>
      <c r="E190" s="3"/>
      <c r="F190" s="11"/>
      <c r="G190" s="3"/>
      <c r="H190" s="3"/>
      <c r="I190" s="3"/>
      <c r="J190" s="3"/>
      <c r="K190" s="3"/>
      <c r="L190" s="3"/>
      <c r="M190" s="11"/>
    </row>
    <row r="191" spans="1:13" x14ac:dyDescent="0.25">
      <c r="A191" s="10"/>
      <c r="B191" s="6"/>
      <c r="C191" s="5"/>
      <c r="D191" s="12"/>
      <c r="E191" s="5"/>
      <c r="F191" s="12"/>
      <c r="G191" s="5"/>
      <c r="H191" s="5"/>
      <c r="I191" s="5"/>
      <c r="J191" s="5"/>
      <c r="K191" s="5"/>
      <c r="L191" s="5"/>
      <c r="M191" s="12"/>
    </row>
    <row r="192" spans="1:13" x14ac:dyDescent="0.25">
      <c r="A192" s="2"/>
      <c r="B192" s="4"/>
      <c r="C192" s="3"/>
      <c r="D192" s="11"/>
      <c r="E192" s="3"/>
      <c r="F192" s="11"/>
      <c r="G192" s="3"/>
      <c r="H192" s="3"/>
      <c r="I192" s="3"/>
      <c r="J192" s="3"/>
      <c r="K192" s="3"/>
      <c r="L192" s="3"/>
      <c r="M192" s="11"/>
    </row>
    <row r="193" spans="1:13" x14ac:dyDescent="0.25">
      <c r="A193" s="10"/>
      <c r="B193" s="6"/>
      <c r="C193" s="5"/>
      <c r="D193" s="12"/>
      <c r="E193" s="5"/>
      <c r="F193" s="12"/>
      <c r="G193" s="5"/>
      <c r="H193" s="5"/>
      <c r="I193" s="5"/>
      <c r="J193" s="5"/>
      <c r="K193" s="5"/>
      <c r="L193" s="5"/>
      <c r="M193" s="12"/>
    </row>
    <row r="194" spans="1:13" x14ac:dyDescent="0.25">
      <c r="A194" s="2"/>
      <c r="B194" s="4"/>
      <c r="C194" s="3"/>
      <c r="D194" s="11"/>
      <c r="E194" s="3"/>
      <c r="F194" s="11"/>
      <c r="G194" s="3"/>
      <c r="H194" s="3"/>
      <c r="I194" s="3"/>
      <c r="J194" s="3"/>
      <c r="K194" s="3"/>
      <c r="L194" s="3"/>
      <c r="M194" s="11"/>
    </row>
    <row r="195" spans="1:13" x14ac:dyDescent="0.25">
      <c r="A195" s="10"/>
      <c r="B195" s="6"/>
      <c r="C195" s="5"/>
      <c r="D195" s="12"/>
      <c r="E195" s="5"/>
      <c r="F195" s="12"/>
      <c r="G195" s="5"/>
      <c r="H195" s="5"/>
      <c r="I195" s="5"/>
      <c r="J195" s="5"/>
      <c r="K195" s="5"/>
      <c r="L195" s="5"/>
      <c r="M195" s="12"/>
    </row>
    <row r="196" spans="1:13" x14ac:dyDescent="0.25">
      <c r="A196" s="2"/>
      <c r="B196" s="4"/>
      <c r="C196" s="3"/>
      <c r="D196" s="11"/>
      <c r="E196" s="3"/>
      <c r="F196" s="11"/>
      <c r="G196" s="3"/>
      <c r="H196" s="3"/>
      <c r="I196" s="3"/>
      <c r="J196" s="3"/>
      <c r="K196" s="3"/>
      <c r="L196" s="3"/>
      <c r="M196" s="11"/>
    </row>
    <row r="197" spans="1:13" x14ac:dyDescent="0.25">
      <c r="A197" s="10"/>
      <c r="B197" s="6"/>
      <c r="C197" s="5"/>
      <c r="D197" s="12"/>
      <c r="E197" s="5"/>
      <c r="F197" s="12"/>
      <c r="G197" s="5"/>
      <c r="H197" s="5"/>
      <c r="I197" s="5"/>
      <c r="J197" s="5"/>
      <c r="K197" s="5"/>
      <c r="L197" s="5"/>
      <c r="M197" s="12"/>
    </row>
    <row r="198" spans="1:13" x14ac:dyDescent="0.25">
      <c r="A198" s="2"/>
      <c r="B198" s="4"/>
      <c r="C198" s="3"/>
      <c r="D198" s="11"/>
      <c r="E198" s="3"/>
      <c r="F198" s="11"/>
      <c r="G198" s="3"/>
      <c r="H198" s="3"/>
      <c r="I198" s="3"/>
      <c r="J198" s="3"/>
      <c r="K198" s="3"/>
      <c r="L198" s="3"/>
      <c r="M198" s="11"/>
    </row>
    <row r="199" spans="1:13" x14ac:dyDescent="0.25">
      <c r="A199" s="10"/>
      <c r="B199" s="6"/>
      <c r="C199" s="5"/>
      <c r="D199" s="12"/>
      <c r="E199" s="5"/>
      <c r="F199" s="12"/>
      <c r="G199" s="5"/>
      <c r="H199" s="5"/>
      <c r="I199" s="5"/>
      <c r="J199" s="5"/>
      <c r="K199" s="5"/>
      <c r="L199" s="5"/>
      <c r="M199" s="12"/>
    </row>
    <row r="200" spans="1:13" x14ac:dyDescent="0.25">
      <c r="A200" s="2"/>
      <c r="B200" s="4"/>
      <c r="C200" s="3"/>
      <c r="D200" s="11"/>
      <c r="E200" s="3"/>
      <c r="F200" s="11"/>
      <c r="G200" s="3"/>
      <c r="H200" s="3"/>
      <c r="I200" s="3"/>
      <c r="J200" s="3"/>
      <c r="K200" s="3"/>
      <c r="L200" s="3"/>
      <c r="M200" s="11"/>
    </row>
    <row r="201" spans="1:13" x14ac:dyDescent="0.25">
      <c r="A201" s="10"/>
      <c r="B201" s="6"/>
      <c r="C201" s="5"/>
      <c r="D201" s="12"/>
      <c r="E201" s="5"/>
      <c r="F201" s="12"/>
      <c r="G201" s="5"/>
      <c r="H201" s="5"/>
      <c r="I201" s="5"/>
      <c r="J201" s="5"/>
      <c r="K201" s="5"/>
      <c r="L201" s="5"/>
      <c r="M201" s="12"/>
    </row>
    <row r="202" spans="1:13" x14ac:dyDescent="0.25">
      <c r="A202" s="2"/>
      <c r="B202" s="4"/>
      <c r="C202" s="3"/>
      <c r="D202" s="11"/>
      <c r="E202" s="3"/>
      <c r="F202" s="11"/>
      <c r="G202" s="3"/>
      <c r="H202" s="3"/>
      <c r="I202" s="3"/>
      <c r="J202" s="3"/>
      <c r="K202" s="3"/>
      <c r="L202" s="3"/>
      <c r="M202" s="11"/>
    </row>
    <row r="203" spans="1:13" x14ac:dyDescent="0.25">
      <c r="A203" s="10"/>
      <c r="B203" s="6"/>
      <c r="C203" s="5"/>
      <c r="D203" s="12"/>
      <c r="E203" s="5"/>
      <c r="F203" s="12"/>
      <c r="G203" s="5"/>
      <c r="H203" s="5"/>
      <c r="I203" s="5"/>
      <c r="J203" s="5"/>
      <c r="K203" s="5"/>
      <c r="L203" s="5"/>
      <c r="M203" s="12"/>
    </row>
    <row r="204" spans="1:13" x14ac:dyDescent="0.25">
      <c r="A204" s="2"/>
      <c r="B204" s="4"/>
      <c r="C204" s="3"/>
      <c r="D204" s="11"/>
      <c r="E204" s="3"/>
      <c r="F204" s="11"/>
      <c r="G204" s="3"/>
      <c r="H204" s="3"/>
      <c r="I204" s="3"/>
      <c r="J204" s="3"/>
      <c r="K204" s="3"/>
      <c r="L204" s="3"/>
      <c r="M204" s="11"/>
    </row>
    <row r="205" spans="1:13" x14ac:dyDescent="0.25">
      <c r="A205" s="10"/>
      <c r="B205" s="6"/>
      <c r="C205" s="5"/>
      <c r="D205" s="12"/>
      <c r="E205" s="5"/>
      <c r="F205" s="12"/>
      <c r="G205" s="5"/>
      <c r="H205" s="5"/>
      <c r="I205" s="5"/>
      <c r="J205" s="5"/>
      <c r="K205" s="5"/>
      <c r="L205" s="5"/>
      <c r="M205" s="12"/>
    </row>
    <row r="206" spans="1:13" x14ac:dyDescent="0.25">
      <c r="A206" s="2"/>
      <c r="B206" s="4"/>
      <c r="C206" s="3"/>
      <c r="D206" s="11"/>
      <c r="E206" s="3"/>
      <c r="F206" s="11"/>
      <c r="G206" s="3"/>
      <c r="H206" s="3"/>
      <c r="I206" s="3"/>
      <c r="J206" s="3"/>
      <c r="K206" s="3"/>
      <c r="L206" s="3"/>
      <c r="M206" s="11"/>
    </row>
    <row r="207" spans="1:13" x14ac:dyDescent="0.25">
      <c r="A207" s="10"/>
      <c r="B207" s="6"/>
      <c r="C207" s="5"/>
      <c r="D207" s="12"/>
      <c r="E207" s="5"/>
      <c r="F207" s="12"/>
      <c r="G207" s="5"/>
      <c r="H207" s="5"/>
      <c r="I207" s="5"/>
      <c r="J207" s="5"/>
      <c r="K207" s="5"/>
      <c r="L207" s="5"/>
      <c r="M207" s="12"/>
    </row>
    <row r="208" spans="1:13" x14ac:dyDescent="0.25">
      <c r="A208" s="2"/>
      <c r="B208" s="4"/>
      <c r="C208" s="3"/>
      <c r="D208" s="11"/>
      <c r="E208" s="3"/>
      <c r="F208" s="11"/>
      <c r="G208" s="3"/>
      <c r="H208" s="3"/>
      <c r="I208" s="3"/>
      <c r="J208" s="3"/>
      <c r="K208" s="3"/>
      <c r="L208" s="3"/>
      <c r="M208" s="11"/>
    </row>
    <row r="209" spans="1:13" x14ac:dyDescent="0.25">
      <c r="A209" s="10"/>
      <c r="B209" s="6"/>
      <c r="C209" s="5"/>
      <c r="D209" s="12"/>
      <c r="E209" s="5"/>
      <c r="F209" s="12"/>
      <c r="G209" s="5"/>
      <c r="H209" s="5"/>
      <c r="I209" s="5"/>
      <c r="J209" s="5"/>
      <c r="K209" s="5"/>
      <c r="L209" s="5"/>
      <c r="M209" s="12"/>
    </row>
    <row r="210" spans="1:13" x14ac:dyDescent="0.25">
      <c r="A210" s="2"/>
      <c r="B210" s="4"/>
      <c r="C210" s="3"/>
      <c r="D210" s="11"/>
      <c r="E210" s="3"/>
      <c r="F210" s="11"/>
      <c r="G210" s="3"/>
      <c r="H210" s="3"/>
      <c r="I210" s="3"/>
      <c r="J210" s="3"/>
      <c r="K210" s="3"/>
      <c r="L210" s="3"/>
      <c r="M210" s="11"/>
    </row>
    <row r="211" spans="1:13" x14ac:dyDescent="0.25">
      <c r="A211" s="10"/>
      <c r="B211" s="6"/>
      <c r="C211" s="5"/>
      <c r="D211" s="12"/>
      <c r="E211" s="5"/>
      <c r="F211" s="12"/>
      <c r="G211" s="5"/>
      <c r="H211" s="5"/>
      <c r="I211" s="5"/>
      <c r="J211" s="5"/>
      <c r="K211" s="5"/>
      <c r="L211" s="5"/>
      <c r="M211" s="12"/>
    </row>
    <row r="212" spans="1:13" x14ac:dyDescent="0.25">
      <c r="A212" s="2"/>
      <c r="B212" s="4"/>
      <c r="C212" s="3"/>
      <c r="D212" s="11"/>
      <c r="E212" s="3"/>
      <c r="F212" s="11"/>
      <c r="G212" s="3"/>
      <c r="H212" s="3"/>
      <c r="I212" s="3"/>
      <c r="J212" s="3"/>
      <c r="K212" s="3"/>
      <c r="L212" s="3"/>
      <c r="M212" s="11"/>
    </row>
    <row r="213" spans="1:13" x14ac:dyDescent="0.25">
      <c r="A213" s="10"/>
      <c r="B213" s="6"/>
      <c r="C213" s="5"/>
      <c r="D213" s="12"/>
      <c r="E213" s="5"/>
      <c r="F213" s="12"/>
      <c r="G213" s="5"/>
      <c r="H213" s="5"/>
      <c r="I213" s="5"/>
      <c r="J213" s="5"/>
      <c r="K213" s="5"/>
      <c r="L213" s="5"/>
      <c r="M213" s="12"/>
    </row>
    <row r="214" spans="1:13" x14ac:dyDescent="0.25">
      <c r="A214" s="2"/>
      <c r="B214" s="4"/>
      <c r="C214" s="3"/>
      <c r="D214" s="11"/>
      <c r="E214" s="3"/>
      <c r="F214" s="11"/>
      <c r="G214" s="3"/>
      <c r="H214" s="3"/>
      <c r="I214" s="3"/>
      <c r="J214" s="3"/>
      <c r="K214" s="3"/>
      <c r="L214" s="3"/>
      <c r="M214" s="11"/>
    </row>
    <row r="215" spans="1:13" x14ac:dyDescent="0.25">
      <c r="A215" s="10"/>
      <c r="B215" s="6"/>
      <c r="C215" s="5"/>
      <c r="D215" s="12"/>
      <c r="E215" s="5"/>
      <c r="F215" s="12"/>
      <c r="G215" s="5"/>
      <c r="H215" s="5"/>
      <c r="I215" s="5"/>
      <c r="J215" s="5"/>
      <c r="K215" s="5"/>
      <c r="L215" s="5"/>
      <c r="M215" s="12"/>
    </row>
    <row r="216" spans="1:13" x14ac:dyDescent="0.25">
      <c r="A216" s="2"/>
      <c r="B216" s="4"/>
      <c r="C216" s="3"/>
      <c r="D216" s="11"/>
      <c r="E216" s="3"/>
      <c r="F216" s="11"/>
      <c r="G216" s="3"/>
      <c r="H216" s="3"/>
      <c r="I216" s="3"/>
      <c r="J216" s="3"/>
      <c r="K216" s="3"/>
      <c r="L216" s="3"/>
      <c r="M216" s="11"/>
    </row>
    <row r="217" spans="1:13" x14ac:dyDescent="0.25">
      <c r="A217" s="10"/>
      <c r="B217" s="6"/>
      <c r="C217" s="5"/>
      <c r="D217" s="12"/>
      <c r="E217" s="5"/>
      <c r="F217" s="12"/>
      <c r="G217" s="5"/>
      <c r="H217" s="5"/>
      <c r="I217" s="5"/>
      <c r="J217" s="5"/>
      <c r="K217" s="5"/>
      <c r="L217" s="5"/>
      <c r="M217" s="12"/>
    </row>
    <row r="218" spans="1:13" x14ac:dyDescent="0.25">
      <c r="A218" s="2"/>
      <c r="B218" s="4"/>
      <c r="C218" s="3"/>
      <c r="D218" s="11"/>
      <c r="E218" s="3"/>
      <c r="F218" s="11"/>
      <c r="G218" s="3"/>
      <c r="H218" s="3"/>
      <c r="I218" s="3"/>
      <c r="J218" s="3"/>
      <c r="K218" s="3"/>
      <c r="L218" s="3"/>
      <c r="M218" s="11"/>
    </row>
    <row r="219" spans="1:13" x14ac:dyDescent="0.25">
      <c r="A219" s="10"/>
      <c r="B219" s="6"/>
      <c r="C219" s="5"/>
      <c r="D219" s="12"/>
      <c r="E219" s="5"/>
      <c r="F219" s="12"/>
      <c r="G219" s="5"/>
      <c r="H219" s="5"/>
      <c r="I219" s="5"/>
      <c r="J219" s="5"/>
      <c r="K219" s="5"/>
      <c r="L219" s="5"/>
      <c r="M219" s="12"/>
    </row>
    <row r="220" spans="1:13" x14ac:dyDescent="0.25">
      <c r="A220" s="2"/>
      <c r="B220" s="4"/>
      <c r="C220" s="3"/>
      <c r="D220" s="11"/>
      <c r="E220" s="3"/>
      <c r="F220" s="11"/>
      <c r="G220" s="3"/>
      <c r="H220" s="3"/>
      <c r="I220" s="3"/>
      <c r="J220" s="3"/>
      <c r="K220" s="3"/>
      <c r="L220" s="3"/>
      <c r="M220" s="11"/>
    </row>
    <row r="221" spans="1:13" x14ac:dyDescent="0.25">
      <c r="A221" s="10"/>
      <c r="B221" s="6"/>
      <c r="C221" s="5"/>
      <c r="D221" s="12"/>
      <c r="E221" s="5"/>
      <c r="F221" s="12"/>
      <c r="G221" s="5"/>
      <c r="H221" s="5"/>
      <c r="I221" s="5"/>
      <c r="J221" s="5"/>
      <c r="K221" s="5"/>
      <c r="L221" s="5"/>
      <c r="M221" s="12"/>
    </row>
    <row r="222" spans="1:13" x14ac:dyDescent="0.25">
      <c r="A222" s="2"/>
      <c r="B222" s="4"/>
      <c r="C222" s="3"/>
      <c r="D222" s="11"/>
      <c r="E222" s="3"/>
      <c r="F222" s="11"/>
      <c r="G222" s="3"/>
      <c r="H222" s="3"/>
      <c r="I222" s="3"/>
      <c r="J222" s="3"/>
      <c r="K222" s="3"/>
      <c r="L222" s="3"/>
      <c r="M222" s="11"/>
    </row>
    <row r="223" spans="1:13" x14ac:dyDescent="0.25">
      <c r="A223" s="10"/>
      <c r="B223" s="6"/>
      <c r="C223" s="5"/>
      <c r="D223" s="12"/>
      <c r="E223" s="5"/>
      <c r="F223" s="12"/>
      <c r="G223" s="5"/>
      <c r="H223" s="5"/>
      <c r="I223" s="5"/>
      <c r="J223" s="5"/>
      <c r="K223" s="5"/>
      <c r="L223" s="5"/>
      <c r="M223" s="12"/>
    </row>
    <row r="224" spans="1:13" x14ac:dyDescent="0.25">
      <c r="A224" s="2"/>
      <c r="B224" s="4"/>
      <c r="C224" s="3"/>
      <c r="D224" s="11"/>
      <c r="E224" s="3"/>
      <c r="F224" s="11"/>
      <c r="G224" s="3"/>
      <c r="H224" s="3"/>
      <c r="I224" s="3"/>
      <c r="J224" s="3"/>
      <c r="K224" s="3"/>
      <c r="L224" s="3"/>
      <c r="M224" s="11"/>
    </row>
    <row r="225" spans="1:13" x14ac:dyDescent="0.25">
      <c r="A225" s="10"/>
      <c r="B225" s="6"/>
      <c r="C225" s="5"/>
      <c r="D225" s="12"/>
      <c r="E225" s="5"/>
      <c r="F225" s="12"/>
      <c r="G225" s="5"/>
      <c r="H225" s="5"/>
      <c r="I225" s="5"/>
      <c r="J225" s="5"/>
      <c r="K225" s="5"/>
      <c r="L225" s="5"/>
      <c r="M225" s="12"/>
    </row>
    <row r="226" spans="1:13" x14ac:dyDescent="0.25">
      <c r="A226" s="2"/>
      <c r="B226" s="4"/>
      <c r="C226" s="3"/>
      <c r="D226" s="11"/>
      <c r="E226" s="3"/>
      <c r="F226" s="11"/>
      <c r="G226" s="3"/>
      <c r="H226" s="3"/>
      <c r="I226" s="3"/>
      <c r="J226" s="3"/>
      <c r="K226" s="3"/>
      <c r="L226" s="3"/>
      <c r="M226" s="11"/>
    </row>
    <row r="227" spans="1:13" x14ac:dyDescent="0.25">
      <c r="A227" s="10"/>
      <c r="B227" s="6"/>
      <c r="C227" s="5"/>
      <c r="D227" s="12"/>
      <c r="E227" s="5"/>
      <c r="F227" s="12"/>
      <c r="G227" s="5"/>
      <c r="H227" s="5"/>
      <c r="I227" s="5"/>
      <c r="J227" s="5"/>
      <c r="K227" s="5"/>
      <c r="L227" s="5"/>
      <c r="M227" s="12"/>
    </row>
    <row r="228" spans="1:13" x14ac:dyDescent="0.25">
      <c r="A228" s="2"/>
      <c r="B228" s="4"/>
      <c r="C228" s="3"/>
      <c r="D228" s="11"/>
      <c r="E228" s="3"/>
      <c r="F228" s="11"/>
      <c r="G228" s="3"/>
      <c r="H228" s="3"/>
      <c r="I228" s="3"/>
      <c r="J228" s="3"/>
      <c r="K228" s="3"/>
      <c r="L228" s="3"/>
      <c r="M228" s="11"/>
    </row>
    <row r="229" spans="1:13" x14ac:dyDescent="0.25">
      <c r="A229" s="10"/>
      <c r="B229" s="6"/>
      <c r="C229" s="5"/>
      <c r="D229" s="12"/>
      <c r="E229" s="5"/>
      <c r="F229" s="12"/>
      <c r="G229" s="5"/>
      <c r="H229" s="5"/>
      <c r="I229" s="5"/>
      <c r="J229" s="5"/>
      <c r="K229" s="5"/>
      <c r="L229" s="5"/>
      <c r="M229" s="12"/>
    </row>
    <row r="230" spans="1:13" x14ac:dyDescent="0.25">
      <c r="A230" s="2"/>
      <c r="B230" s="4"/>
      <c r="C230" s="3"/>
      <c r="D230" s="11"/>
      <c r="E230" s="3"/>
      <c r="F230" s="11"/>
      <c r="G230" s="3"/>
      <c r="H230" s="3"/>
      <c r="I230" s="3"/>
      <c r="J230" s="3"/>
      <c r="K230" s="3"/>
      <c r="L230" s="3"/>
      <c r="M230" s="11"/>
    </row>
    <row r="231" spans="1:13" x14ac:dyDescent="0.25">
      <c r="A231" s="10"/>
      <c r="B231" s="6"/>
      <c r="C231" s="5"/>
      <c r="D231" s="12"/>
      <c r="E231" s="5"/>
      <c r="F231" s="12"/>
      <c r="G231" s="5"/>
      <c r="H231" s="5"/>
      <c r="I231" s="5"/>
      <c r="J231" s="5"/>
      <c r="K231" s="5"/>
      <c r="L231" s="5"/>
      <c r="M231" s="12"/>
    </row>
    <row r="232" spans="1:13" x14ac:dyDescent="0.25">
      <c r="A232" s="2"/>
      <c r="B232" s="4"/>
      <c r="C232" s="3"/>
      <c r="D232" s="11"/>
      <c r="E232" s="3"/>
      <c r="F232" s="11"/>
      <c r="G232" s="3"/>
      <c r="H232" s="3"/>
      <c r="I232" s="3"/>
      <c r="J232" s="3"/>
      <c r="K232" s="3"/>
      <c r="L232" s="3"/>
      <c r="M232" s="11"/>
    </row>
    <row r="233" spans="1:13" x14ac:dyDescent="0.25">
      <c r="A233" s="10"/>
      <c r="B233" s="6"/>
      <c r="C233" s="5"/>
      <c r="D233" s="12"/>
      <c r="E233" s="5"/>
      <c r="F233" s="12"/>
      <c r="G233" s="5"/>
      <c r="H233" s="5"/>
      <c r="I233" s="5"/>
      <c r="J233" s="5"/>
      <c r="K233" s="5"/>
      <c r="L233" s="5"/>
      <c r="M233" s="12"/>
    </row>
    <row r="234" spans="1:13" x14ac:dyDescent="0.25">
      <c r="A234" s="2"/>
      <c r="B234" s="4"/>
      <c r="C234" s="3"/>
      <c r="D234" s="11"/>
      <c r="E234" s="3"/>
      <c r="F234" s="11"/>
      <c r="G234" s="3"/>
      <c r="H234" s="3"/>
      <c r="I234" s="3"/>
      <c r="J234" s="3"/>
      <c r="K234" s="3"/>
      <c r="L234" s="3"/>
      <c r="M234" s="11"/>
    </row>
    <row r="235" spans="1:13" x14ac:dyDescent="0.25">
      <c r="A235" s="10"/>
      <c r="B235" s="6"/>
      <c r="C235" s="5"/>
      <c r="D235" s="12"/>
      <c r="E235" s="5"/>
      <c r="F235" s="12"/>
      <c r="G235" s="5"/>
      <c r="H235" s="5"/>
      <c r="I235" s="5"/>
      <c r="J235" s="5"/>
      <c r="K235" s="5"/>
      <c r="L235" s="5"/>
      <c r="M235" s="12"/>
    </row>
    <row r="236" spans="1:13" x14ac:dyDescent="0.25">
      <c r="A236" s="2"/>
      <c r="B236" s="4"/>
      <c r="C236" s="3"/>
      <c r="D236" s="11"/>
      <c r="E236" s="3"/>
      <c r="F236" s="11"/>
      <c r="G236" s="3"/>
      <c r="H236" s="3"/>
      <c r="I236" s="3"/>
      <c r="J236" s="3"/>
      <c r="K236" s="3"/>
      <c r="L236" s="3"/>
      <c r="M236" s="11"/>
    </row>
  </sheetData>
  <mergeCells count="14">
    <mergeCell ref="A134:A141"/>
    <mergeCell ref="A145:A152"/>
    <mergeCell ref="A24:A31"/>
    <mergeCell ref="A35:A42"/>
    <mergeCell ref="A46:A53"/>
    <mergeCell ref="A57:A64"/>
    <mergeCell ref="A68:A75"/>
    <mergeCell ref="A79:A86"/>
    <mergeCell ref="A90:A97"/>
    <mergeCell ref="A2:A9"/>
    <mergeCell ref="A13:A20"/>
    <mergeCell ref="A101:A108"/>
    <mergeCell ref="A112:A119"/>
    <mergeCell ref="A123:A13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Lorenze Dumalaon</cp:lastModifiedBy>
  <dcterms:modified xsi:type="dcterms:W3CDTF">2026-09-17T09:20:54Z</dcterms:modified>
</cp:coreProperties>
</file>