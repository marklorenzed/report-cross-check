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kl\Downloads\"/>
    </mc:Choice>
  </mc:AlternateContent>
  <xr:revisionPtr revIDLastSave="0" documentId="8_{4EE7036D-DFDB-4BA3-B7C5-0864666822D7}" xr6:coauthVersionLast="47" xr6:coauthVersionMax="47" xr10:uidLastSave="{00000000-0000-0000-0000-000000000000}"/>
  <bookViews>
    <workbookView xWindow="6375" yWindow="2070" windowWidth="24390" windowHeight="18810" xr2:uid="{00000000-000D-0000-FFFF-FFFF00000000}"/>
  </bookViews>
  <sheets>
    <sheet name="SEPTEMBER 2026" sheetId="9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1" i="9" l="1"/>
  <c r="I331" i="9"/>
  <c r="G331" i="9"/>
  <c r="E331" i="9"/>
  <c r="C331" i="9"/>
  <c r="M329" i="9"/>
  <c r="M331" i="9" s="1"/>
  <c r="K329" i="9"/>
  <c r="I329" i="9"/>
  <c r="G329" i="9"/>
  <c r="E329" i="9"/>
  <c r="C329" i="9"/>
  <c r="K320" i="9"/>
  <c r="I320" i="9"/>
  <c r="G320" i="9"/>
  <c r="E320" i="9"/>
  <c r="C320" i="9"/>
  <c r="M318" i="9"/>
  <c r="M320" i="9" s="1"/>
  <c r="K318" i="9"/>
  <c r="I318" i="9"/>
  <c r="G318" i="9"/>
  <c r="E318" i="9"/>
  <c r="C318" i="9"/>
  <c r="K309" i="9"/>
  <c r="I309" i="9"/>
  <c r="G309" i="9"/>
  <c r="E309" i="9"/>
  <c r="C309" i="9"/>
  <c r="M307" i="9"/>
  <c r="M309" i="9" s="1"/>
  <c r="K307" i="9"/>
  <c r="I307" i="9"/>
  <c r="G307" i="9"/>
  <c r="E307" i="9"/>
  <c r="C307" i="9"/>
  <c r="K298" i="9"/>
  <c r="I298" i="9"/>
  <c r="G298" i="9"/>
  <c r="E298" i="9"/>
  <c r="C298" i="9"/>
  <c r="M296" i="9"/>
  <c r="M298" i="9" s="1"/>
  <c r="K296" i="9"/>
  <c r="I296" i="9"/>
  <c r="G296" i="9"/>
  <c r="E296" i="9"/>
  <c r="C296" i="9"/>
  <c r="K287" i="9"/>
  <c r="I287" i="9"/>
  <c r="G287" i="9"/>
  <c r="E287" i="9"/>
  <c r="C287" i="9"/>
  <c r="M285" i="9"/>
  <c r="M287" i="9" s="1"/>
  <c r="K285" i="9"/>
  <c r="I285" i="9"/>
  <c r="G285" i="9"/>
  <c r="E285" i="9"/>
  <c r="C285" i="9"/>
  <c r="K276" i="9"/>
  <c r="I276" i="9"/>
  <c r="G276" i="9"/>
  <c r="E276" i="9"/>
  <c r="C276" i="9"/>
  <c r="M274" i="9"/>
  <c r="M276" i="9" s="1"/>
  <c r="K274" i="9"/>
  <c r="I274" i="9"/>
  <c r="G274" i="9"/>
  <c r="E274" i="9"/>
  <c r="C274" i="9"/>
  <c r="K265" i="9"/>
  <c r="I265" i="9"/>
  <c r="G265" i="9"/>
  <c r="E265" i="9"/>
  <c r="C265" i="9"/>
  <c r="M263" i="9"/>
  <c r="M265" i="9" s="1"/>
  <c r="K263" i="9"/>
  <c r="I263" i="9"/>
  <c r="G263" i="9"/>
  <c r="E263" i="9"/>
  <c r="C263" i="9"/>
  <c r="K254" i="9"/>
  <c r="I254" i="9"/>
  <c r="G254" i="9"/>
  <c r="E254" i="9"/>
  <c r="C254" i="9"/>
  <c r="M252" i="9"/>
  <c r="M254" i="9" s="1"/>
  <c r="K252" i="9"/>
  <c r="I252" i="9"/>
  <c r="G252" i="9"/>
  <c r="E252" i="9"/>
  <c r="C252" i="9"/>
  <c r="K243" i="9"/>
  <c r="I243" i="9"/>
  <c r="G243" i="9"/>
  <c r="E243" i="9"/>
  <c r="C243" i="9"/>
  <c r="M241" i="9"/>
  <c r="M243" i="9" s="1"/>
  <c r="K241" i="9"/>
  <c r="I241" i="9"/>
  <c r="G241" i="9"/>
  <c r="E241" i="9"/>
  <c r="C241" i="9"/>
  <c r="K232" i="9"/>
  <c r="I232" i="9"/>
  <c r="G232" i="9"/>
  <c r="E232" i="9"/>
  <c r="C232" i="9"/>
  <c r="M230" i="9"/>
  <c r="M232" i="9" s="1"/>
  <c r="K230" i="9"/>
  <c r="I230" i="9"/>
  <c r="G230" i="9"/>
  <c r="E230" i="9"/>
  <c r="C230" i="9"/>
  <c r="K221" i="9"/>
  <c r="I221" i="9"/>
  <c r="G221" i="9"/>
  <c r="E221" i="9"/>
  <c r="C221" i="9"/>
  <c r="M219" i="9"/>
  <c r="M221" i="9" s="1"/>
  <c r="K219" i="9"/>
  <c r="I219" i="9"/>
  <c r="G219" i="9"/>
  <c r="E219" i="9"/>
  <c r="C219" i="9"/>
  <c r="K210" i="9"/>
  <c r="I210" i="9"/>
  <c r="G210" i="9"/>
  <c r="E210" i="9"/>
  <c r="C210" i="9"/>
  <c r="M208" i="9"/>
  <c r="M210" i="9" s="1"/>
  <c r="K208" i="9"/>
  <c r="I208" i="9"/>
  <c r="G208" i="9"/>
  <c r="E208" i="9"/>
  <c r="C208" i="9"/>
  <c r="K199" i="9"/>
  <c r="I199" i="9"/>
  <c r="G199" i="9"/>
  <c r="E199" i="9"/>
  <c r="C199" i="9"/>
  <c r="M197" i="9"/>
  <c r="M199" i="9" s="1"/>
  <c r="K197" i="9"/>
  <c r="I197" i="9"/>
  <c r="G197" i="9"/>
  <c r="E197" i="9"/>
  <c r="C197" i="9"/>
  <c r="K188" i="9"/>
  <c r="I188" i="9"/>
  <c r="G188" i="9"/>
  <c r="E188" i="9"/>
  <c r="C188" i="9"/>
  <c r="M186" i="9"/>
  <c r="M188" i="9" s="1"/>
  <c r="K186" i="9"/>
  <c r="I186" i="9"/>
  <c r="G186" i="9"/>
  <c r="E186" i="9"/>
  <c r="C186" i="9"/>
  <c r="M177" i="9"/>
  <c r="K177" i="9"/>
  <c r="I177" i="9"/>
  <c r="G177" i="9"/>
  <c r="E177" i="9"/>
  <c r="C177" i="9"/>
  <c r="A176" i="9"/>
  <c r="M175" i="9"/>
  <c r="K175" i="9"/>
  <c r="I175" i="9"/>
  <c r="G175" i="9"/>
  <c r="E175" i="9"/>
  <c r="C175" i="9"/>
  <c r="A175" i="9"/>
  <c r="M166" i="9"/>
  <c r="K166" i="9"/>
  <c r="I166" i="9"/>
  <c r="G166" i="9"/>
  <c r="A165" i="9"/>
  <c r="M164" i="9"/>
  <c r="K164" i="9"/>
  <c r="I164" i="9"/>
  <c r="G164" i="9"/>
  <c r="E164" i="9"/>
  <c r="E166" i="9" s="1"/>
  <c r="C164" i="9"/>
  <c r="M155" i="9"/>
  <c r="K155" i="9"/>
  <c r="A154" i="9"/>
  <c r="M153" i="9"/>
  <c r="K153" i="9"/>
  <c r="I153" i="9"/>
  <c r="I155" i="9" s="1"/>
  <c r="G153" i="9"/>
  <c r="G155" i="9" s="1"/>
  <c r="E153" i="9"/>
  <c r="E155" i="9" s="1"/>
  <c r="C153" i="9"/>
  <c r="G144" i="9"/>
  <c r="C144" i="9"/>
  <c r="A144" i="9" s="1"/>
  <c r="A143" i="9"/>
  <c r="M142" i="9"/>
  <c r="M144" i="9" s="1"/>
  <c r="K142" i="9"/>
  <c r="K144" i="9" s="1"/>
  <c r="I142" i="9"/>
  <c r="I144" i="9" s="1"/>
  <c r="G142" i="9"/>
  <c r="E142" i="9"/>
  <c r="E144" i="9" s="1"/>
  <c r="C142" i="9"/>
  <c r="M133" i="9"/>
  <c r="I133" i="9"/>
  <c r="G133" i="9"/>
  <c r="E133" i="9"/>
  <c r="C133" i="9"/>
  <c r="A132" i="9"/>
  <c r="M131" i="9"/>
  <c r="K131" i="9"/>
  <c r="K133" i="9" s="1"/>
  <c r="A133" i="9" s="1"/>
  <c r="I131" i="9"/>
  <c r="G131" i="9"/>
  <c r="E131" i="9"/>
  <c r="C131" i="9"/>
  <c r="A131" i="9" s="1"/>
  <c r="M122" i="9"/>
  <c r="K122" i="9"/>
  <c r="I122" i="9"/>
  <c r="G122" i="9"/>
  <c r="E122" i="9"/>
  <c r="A121" i="9"/>
  <c r="M120" i="9"/>
  <c r="K120" i="9"/>
  <c r="I120" i="9"/>
  <c r="G120" i="9"/>
  <c r="A120" i="9" s="1"/>
  <c r="E120" i="9"/>
  <c r="C120" i="9"/>
  <c r="C122" i="9" s="1"/>
  <c r="M111" i="9"/>
  <c r="K111" i="9"/>
  <c r="G111" i="9"/>
  <c r="E111" i="9"/>
  <c r="A110" i="9"/>
  <c r="M109" i="9"/>
  <c r="K109" i="9"/>
  <c r="I109" i="9"/>
  <c r="I111" i="9" s="1"/>
  <c r="G109" i="9"/>
  <c r="E109" i="9"/>
  <c r="C109" i="9"/>
  <c r="A109" i="9" s="1"/>
  <c r="M100" i="9"/>
  <c r="K100" i="9"/>
  <c r="I100" i="9"/>
  <c r="G100" i="9"/>
  <c r="A99" i="9"/>
  <c r="M98" i="9"/>
  <c r="K98" i="9"/>
  <c r="I98" i="9"/>
  <c r="G98" i="9"/>
  <c r="E98" i="9"/>
  <c r="E100" i="9" s="1"/>
  <c r="C98" i="9"/>
  <c r="M89" i="9"/>
  <c r="C89" i="9"/>
  <c r="A88" i="9"/>
  <c r="M87" i="9"/>
  <c r="K87" i="9"/>
  <c r="K89" i="9" s="1"/>
  <c r="I87" i="9"/>
  <c r="I89" i="9" s="1"/>
  <c r="G87" i="9"/>
  <c r="G89" i="9" s="1"/>
  <c r="E87" i="9"/>
  <c r="E89" i="9" s="1"/>
  <c r="C87" i="9"/>
  <c r="G78" i="9"/>
  <c r="E78" i="9"/>
  <c r="A77" i="9"/>
  <c r="M76" i="9"/>
  <c r="M78" i="9" s="1"/>
  <c r="K76" i="9"/>
  <c r="K78" i="9" s="1"/>
  <c r="I76" i="9"/>
  <c r="A76" i="9" s="1"/>
  <c r="G76" i="9"/>
  <c r="E76" i="9"/>
  <c r="C76" i="9"/>
  <c r="C78" i="9" s="1"/>
  <c r="K67" i="9"/>
  <c r="G67" i="9"/>
  <c r="E67" i="9"/>
  <c r="C67" i="9"/>
  <c r="A67" i="9" s="1"/>
  <c r="A66" i="9"/>
  <c r="M65" i="9"/>
  <c r="M67" i="9" s="1"/>
  <c r="K65" i="9"/>
  <c r="I65" i="9"/>
  <c r="I67" i="9" s="1"/>
  <c r="G65" i="9"/>
  <c r="E65" i="9"/>
  <c r="C65" i="9"/>
  <c r="M56" i="9"/>
  <c r="K56" i="9"/>
  <c r="I56" i="9"/>
  <c r="G56" i="9"/>
  <c r="E56" i="9"/>
  <c r="C56" i="9"/>
  <c r="A56" i="9" s="1"/>
  <c r="A55" i="9"/>
  <c r="M54" i="9"/>
  <c r="K54" i="9"/>
  <c r="I54" i="9"/>
  <c r="G54" i="9"/>
  <c r="E54" i="9"/>
  <c r="C54" i="9"/>
  <c r="A54" i="9"/>
  <c r="M45" i="9"/>
  <c r="K45" i="9"/>
  <c r="I45" i="9"/>
  <c r="A44" i="9"/>
  <c r="M43" i="9"/>
  <c r="K43" i="9"/>
  <c r="I43" i="9"/>
  <c r="G43" i="9"/>
  <c r="G45" i="9" s="1"/>
  <c r="E43" i="9"/>
  <c r="E45" i="9" s="1"/>
  <c r="C43" i="9"/>
  <c r="M34" i="9"/>
  <c r="A33" i="9"/>
  <c r="M32" i="9"/>
  <c r="K32" i="9"/>
  <c r="K34" i="9" s="1"/>
  <c r="I32" i="9"/>
  <c r="I34" i="9" s="1"/>
  <c r="G32" i="9"/>
  <c r="G34" i="9" s="1"/>
  <c r="E32" i="9"/>
  <c r="E34" i="9" s="1"/>
  <c r="C32" i="9"/>
  <c r="C34" i="9" s="1"/>
  <c r="E23" i="9"/>
  <c r="C23" i="9"/>
  <c r="A22" i="9"/>
  <c r="M21" i="9"/>
  <c r="M23" i="9" s="1"/>
  <c r="K21" i="9"/>
  <c r="K23" i="9" s="1"/>
  <c r="I21" i="9"/>
  <c r="I23" i="9" s="1"/>
  <c r="G21" i="9"/>
  <c r="G23" i="9" s="1"/>
  <c r="E21" i="9"/>
  <c r="C21" i="9"/>
  <c r="I12" i="9"/>
  <c r="G12" i="9"/>
  <c r="E12" i="9"/>
  <c r="C12" i="9"/>
  <c r="A11" i="9"/>
  <c r="M10" i="9"/>
  <c r="M12" i="9" s="1"/>
  <c r="A12" i="9" s="1"/>
  <c r="K10" i="9"/>
  <c r="K12" i="9" s="1"/>
  <c r="I10" i="9"/>
  <c r="G10" i="9"/>
  <c r="E10" i="9"/>
  <c r="C10" i="9"/>
  <c r="A10" i="9" s="1"/>
  <c r="C45" i="9" l="1"/>
  <c r="A45" i="9" s="1"/>
  <c r="A43" i="9"/>
  <c r="C166" i="9"/>
  <c r="A166" i="9" s="1"/>
  <c r="A164" i="9"/>
  <c r="C100" i="9"/>
  <c r="A100" i="9" s="1"/>
  <c r="A98" i="9"/>
  <c r="A34" i="9"/>
  <c r="A89" i="9"/>
  <c r="A142" i="9"/>
  <c r="A177" i="9"/>
  <c r="A23" i="9"/>
  <c r="A87" i="9"/>
  <c r="A122" i="9"/>
  <c r="C111" i="9"/>
  <c r="A111" i="9" s="1"/>
  <c r="A153" i="9"/>
  <c r="A65" i="9"/>
  <c r="I78" i="9"/>
  <c r="A78" i="9" s="1"/>
  <c r="C155" i="9"/>
  <c r="A155" i="9" s="1"/>
  <c r="A21" i="9"/>
  <c r="A3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45" authorId="0" shapeId="0" xr:uid="{00000000-0006-0000-0800-000001000000}">
      <text>
        <r>
          <rPr>
            <sz val="10"/>
            <color rgb="FF000000"/>
            <rFont val="Arial"/>
            <scheme val="minor"/>
          </rPr>
          <t>200 elastic po payment px lasco tru gcash po</t>
        </r>
      </text>
    </comment>
    <comment ref="I148" authorId="0" shapeId="0" xr:uid="{00000000-0006-0000-0800-000002000000}">
      <text>
        <r>
          <rPr>
            <sz val="10"/>
            <color rgb="FF000000"/>
            <rFont val="Arial"/>
            <scheme val="minor"/>
          </rPr>
          <t>Px selpides 5000 po tru bank bpi po</t>
        </r>
      </text>
    </comment>
  </commentList>
</comments>
</file>

<file path=xl/sharedStrings.xml><?xml version="1.0" encoding="utf-8"?>
<sst xmlns="http://schemas.openxmlformats.org/spreadsheetml/2006/main" count="543" uniqueCount="29">
  <si>
    <t>CASH</t>
  </si>
  <si>
    <t>GCASH</t>
  </si>
  <si>
    <t>MAYA</t>
  </si>
  <si>
    <t>Dona</t>
  </si>
  <si>
    <t>RJ</t>
  </si>
  <si>
    <t>TOTAL</t>
  </si>
  <si>
    <t>✅</t>
  </si>
  <si>
    <t>EXPENSES</t>
  </si>
  <si>
    <t>END TOTAL</t>
  </si>
  <si>
    <t>DMPDC SUPPLIES &amp; BENEFITS</t>
  </si>
  <si>
    <t>LR</t>
  </si>
  <si>
    <t>MY</t>
  </si>
  <si>
    <t>RM</t>
  </si>
  <si>
    <t>PR</t>
  </si>
  <si>
    <t>TS</t>
  </si>
  <si>
    <t>JM</t>
  </si>
  <si>
    <t>KC</t>
  </si>
  <si>
    <t>JB</t>
  </si>
  <si>
    <t>RR</t>
  </si>
  <si>
    <t>SC</t>
  </si>
  <si>
    <t>RY</t>
  </si>
  <si>
    <t>DOC RAP BENEFITS</t>
  </si>
  <si>
    <t>BANK TRANSFER</t>
  </si>
  <si>
    <t>CREDIT CARD</t>
  </si>
  <si>
    <t>DEBIT CARD</t>
  </si>
  <si>
    <t xml:space="preserve">DONA </t>
  </si>
  <si>
    <t>HOUSEHOLD BENEFITS</t>
  </si>
  <si>
    <t>DMPDC BENEFITS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</si>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</sst>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"/>
  </numFmts>
  <fonts count="6" x14ac:knownFonts="1">
    <font>
      <sz val="10"/>
      <color rgb="FF000000"/>
      <name val="Arial"/>
      <scheme val="minor"/>
    </font>
    <font>
      <sz val="12"/>
      <color theme="1"/>
      <name val="Roboto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  <xf numFmtId="4" fontId="1" fillId="5" borderId="0" xfId="0" applyNumberFormat="1" applyFont="1" applyFill="1"/>
    <xf numFmtId="4" fontId="1" fillId="6" borderId="0" xfId="0" applyNumberFormat="1" applyFont="1" applyFill="1"/>
    <xf numFmtId="4" fontId="1" fillId="7" borderId="0" xfId="0" applyNumberFormat="1" applyFont="1" applyFill="1"/>
    <xf numFmtId="164" fontId="1" fillId="0" borderId="0" xfId="0" applyNumberFormat="1" applyFont="1" applyAlignment="1">
      <alignment horizontal="center" vertical="center" wrapText="1"/>
    </xf>
    <xf numFmtId="0" fontId="3" fillId="2" borderId="0" xfId="0" applyFont="1" applyFill="1"/>
    <xf numFmtId="0" fontId="3" fillId="3" borderId="0" xfId="0" applyFont="1" applyFill="1"/>
    <xf numFmtId="3" fontId="3" fillId="3" borderId="0" xfId="0" applyNumberFormat="1" applyFont="1" applyFill="1"/>
    <xf numFmtId="3" fontId="3" fillId="2" borderId="0" xfId="0" applyNumberFormat="1" applyFont="1" applyFill="1"/>
    <xf numFmtId="0" fontId="5" fillId="0" borderId="0" xfId="0" applyFont="1"/>
    <xf numFmtId="0" fontId="3" fillId="0" borderId="0" xfId="0" applyFont="1"/>
    <xf numFmtId="0" fontId="1" fillId="0" borderId="0" xfId="0" applyFont="1"/>
    <xf numFmtId="0" fontId="1" fillId="6" borderId="0" xfId="0" applyFont="1" applyFill="1"/>
    <xf numFmtId="0" fontId="1" fillId="7" borderId="0" xfId="0" applyFont="1" applyFill="1"/>
    <xf numFmtId="0" fontId="1" fillId="5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" fontId="1" fillId="4" borderId="0" xfId="0" applyNumberFormat="1" applyFont="1" applyFill="1" applyAlignment="1">
      <alignment horizontal="center" vertical="center" wrapText="1"/>
    </xf>
    <xf numFmtId="4" fontId="1" fillId="8" borderId="0" xfId="0" applyNumberFormat="1" applyFont="1" applyFill="1" applyAlignment="1">
      <alignment horizontal="center" vertical="center" wrapText="1"/>
    </xf>
    <xf numFmtId="4" fontId="1" fillId="9" borderId="0" xfId="0" applyNumberFormat="1" applyFont="1" applyFill="1" applyAlignment="1">
      <alignment horizontal="center" vertical="center" wrapText="1"/>
    </xf>
    <xf numFmtId="4" fontId="1" fillId="10" borderId="0" xfId="0" applyNumberFormat="1" applyFont="1" applyFill="1" applyAlignment="1">
      <alignment horizontal="center" vertical="center" wrapText="1"/>
    </xf>
    <xf numFmtId="4" fontId="3" fillId="0" borderId="1" xfId="0" applyNumberFormat="1" applyFont="1" applyBorder="1"/>
    <xf numFmtId="0" fontId="3" fillId="0" borderId="2" xfId="0" applyFont="1" applyBorder="1" applyAlignment="1">
      <alignment horizontal="center"/>
    </xf>
    <xf numFmtId="4" fontId="3" fillId="0" borderId="3" xfId="0" applyNumberFormat="1" applyFont="1" applyBorder="1"/>
    <xf numFmtId="0" fontId="3" fillId="0" borderId="4" xfId="0" applyFont="1" applyBorder="1" applyAlignment="1">
      <alignment horizontal="center"/>
    </xf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164" fontId="1" fillId="8" borderId="0" xfId="0" applyNumberFormat="1" applyFont="1" applyFill="1" applyAlignment="1">
      <alignment horizontal="center" vertical="center" wrapText="1"/>
    </xf>
    <xf numFmtId="164" fontId="1" fillId="9" borderId="0" xfId="0" applyNumberFormat="1" applyFont="1" applyFill="1" applyAlignment="1">
      <alignment horizontal="center" vertical="center" wrapText="1"/>
    </xf>
    <xf numFmtId="164" fontId="1" fillId="1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10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505">
    <tableStyle name="APR 2026-style" pivot="0" count="2" xr9:uid="{00000000-0011-0000-FFFF-FFFF00000000}">
      <tableStyleElement type="firstRowStripe" dxfId="1009"/>
      <tableStyleElement type="secondRowStripe" dxfId="1008"/>
    </tableStyle>
    <tableStyle name="APR 2026-style 2" pivot="0" count="2" xr9:uid="{00000000-0011-0000-FFFF-FFFF01000000}">
      <tableStyleElement type="firstRowStripe" dxfId="1007"/>
      <tableStyleElement type="secondRowStripe" dxfId="1006"/>
    </tableStyle>
    <tableStyle name="APR 2026-style 3" pivot="0" count="2" xr9:uid="{00000000-0011-0000-FFFF-FFFF02000000}">
      <tableStyleElement type="firstRowStripe" dxfId="1005"/>
      <tableStyleElement type="secondRowStripe" dxfId="1004"/>
    </tableStyle>
    <tableStyle name="APR 2026-style 4" pivot="0" count="2" xr9:uid="{00000000-0011-0000-FFFF-FFFF03000000}">
      <tableStyleElement type="firstRowStripe" dxfId="1003"/>
      <tableStyleElement type="secondRowStripe" dxfId="1002"/>
    </tableStyle>
    <tableStyle name="APR 2026-style 5" pivot="0" count="2" xr9:uid="{00000000-0011-0000-FFFF-FFFF04000000}">
      <tableStyleElement type="firstRowStripe" dxfId="1001"/>
      <tableStyleElement type="secondRowStripe" dxfId="1000"/>
    </tableStyle>
    <tableStyle name="APR 2026-style 6" pivot="0" count="2" xr9:uid="{00000000-0011-0000-FFFF-FFFF05000000}">
      <tableStyleElement type="firstRowStripe" dxfId="999"/>
      <tableStyleElement type="secondRowStripe" dxfId="998"/>
    </tableStyle>
    <tableStyle name="APR 2026-style 7" pivot="0" count="2" xr9:uid="{00000000-0011-0000-FFFF-FFFF06000000}">
      <tableStyleElement type="firstRowStripe" dxfId="997"/>
      <tableStyleElement type="secondRowStripe" dxfId="996"/>
    </tableStyle>
    <tableStyle name="APR 2026-style 8" pivot="0" count="2" xr9:uid="{00000000-0011-0000-FFFF-FFFF07000000}">
      <tableStyleElement type="firstRowStripe" dxfId="995"/>
      <tableStyleElement type="secondRowStripe" dxfId="994"/>
    </tableStyle>
    <tableStyle name="APR 2026-style 9" pivot="0" count="2" xr9:uid="{00000000-0011-0000-FFFF-FFFF08000000}">
      <tableStyleElement type="firstRowStripe" dxfId="993"/>
      <tableStyleElement type="secondRowStripe" dxfId="992"/>
    </tableStyle>
    <tableStyle name="APR 2026-style 10" pivot="0" count="2" xr9:uid="{00000000-0011-0000-FFFF-FFFF09000000}">
      <tableStyleElement type="firstRowStripe" dxfId="991"/>
      <tableStyleElement type="secondRowStripe" dxfId="990"/>
    </tableStyle>
    <tableStyle name="APR 2026-style 11" pivot="0" count="2" xr9:uid="{00000000-0011-0000-FFFF-FFFF0A000000}">
      <tableStyleElement type="firstRowStripe" dxfId="989"/>
      <tableStyleElement type="secondRowStripe" dxfId="988"/>
    </tableStyle>
    <tableStyle name="APR 2026-style 12" pivot="0" count="2" xr9:uid="{00000000-0011-0000-FFFF-FFFF0B000000}">
      <tableStyleElement type="firstRowStripe" dxfId="987"/>
      <tableStyleElement type="secondRowStripe" dxfId="986"/>
    </tableStyle>
    <tableStyle name="APR 2026-style 13" pivot="0" count="2" xr9:uid="{00000000-0011-0000-FFFF-FFFF0C000000}">
      <tableStyleElement type="firstRowStripe" dxfId="985"/>
      <tableStyleElement type="secondRowStripe" dxfId="984"/>
    </tableStyle>
    <tableStyle name="APR 2026-style 14" pivot="0" count="2" xr9:uid="{00000000-0011-0000-FFFF-FFFF0D000000}">
      <tableStyleElement type="firstRowStripe" dxfId="983"/>
      <tableStyleElement type="secondRowStripe" dxfId="982"/>
    </tableStyle>
    <tableStyle name="APR 2026-style 15" pivot="0" count="2" xr9:uid="{00000000-0011-0000-FFFF-FFFF0E000000}">
      <tableStyleElement type="firstRowStripe" dxfId="981"/>
      <tableStyleElement type="secondRowStripe" dxfId="980"/>
    </tableStyle>
    <tableStyle name="APR 2026-style 16" pivot="0" count="2" xr9:uid="{00000000-0011-0000-FFFF-FFFF0F000000}">
      <tableStyleElement type="firstRowStripe" dxfId="979"/>
      <tableStyleElement type="secondRowStripe" dxfId="978"/>
    </tableStyle>
    <tableStyle name="APR 2026-style 17" pivot="0" count="2" xr9:uid="{00000000-0011-0000-FFFF-FFFF10000000}">
      <tableStyleElement type="firstRowStripe" dxfId="977"/>
      <tableStyleElement type="secondRowStripe" dxfId="976"/>
    </tableStyle>
    <tableStyle name="APR 2026-style 18" pivot="0" count="2" xr9:uid="{00000000-0011-0000-FFFF-FFFF11000000}">
      <tableStyleElement type="firstRowStripe" dxfId="975"/>
      <tableStyleElement type="secondRowStripe" dxfId="974"/>
    </tableStyle>
    <tableStyle name="APR 2026-style 19" pivot="0" count="2" xr9:uid="{00000000-0011-0000-FFFF-FFFF12000000}">
      <tableStyleElement type="firstRowStripe" dxfId="973"/>
      <tableStyleElement type="secondRowStripe" dxfId="972"/>
    </tableStyle>
    <tableStyle name="APR 2026-style 20" pivot="0" count="2" xr9:uid="{00000000-0011-0000-FFFF-FFFF13000000}">
      <tableStyleElement type="firstRowStripe" dxfId="971"/>
      <tableStyleElement type="secondRowStripe" dxfId="970"/>
    </tableStyle>
    <tableStyle name="APR 2026-style 21" pivot="0" count="2" xr9:uid="{00000000-0011-0000-FFFF-FFFF14000000}">
      <tableStyleElement type="firstRowStripe" dxfId="969"/>
      <tableStyleElement type="secondRowStripe" dxfId="968"/>
    </tableStyle>
    <tableStyle name="APR 2026-style 22" pivot="0" count="2" xr9:uid="{00000000-0011-0000-FFFF-FFFF15000000}">
      <tableStyleElement type="firstRowStripe" dxfId="967"/>
      <tableStyleElement type="secondRowStripe" dxfId="966"/>
    </tableStyle>
    <tableStyle name="APR 2026-style 23" pivot="0" count="2" xr9:uid="{00000000-0011-0000-FFFF-FFFF16000000}">
      <tableStyleElement type="firstRowStripe" dxfId="965"/>
      <tableStyleElement type="secondRowStripe" dxfId="964"/>
    </tableStyle>
    <tableStyle name="APR 2026-style 24" pivot="0" count="2" xr9:uid="{00000000-0011-0000-FFFF-FFFF17000000}">
      <tableStyleElement type="firstRowStripe" dxfId="963"/>
      <tableStyleElement type="secondRowStripe" dxfId="962"/>
    </tableStyle>
    <tableStyle name="APR 2026-style 25" pivot="0" count="2" xr9:uid="{00000000-0011-0000-FFFF-FFFF18000000}">
      <tableStyleElement type="firstRowStripe" dxfId="961"/>
      <tableStyleElement type="secondRowStripe" dxfId="960"/>
    </tableStyle>
    <tableStyle name="APR 2026-style 26" pivot="0" count="2" xr9:uid="{00000000-0011-0000-FFFF-FFFF19000000}">
      <tableStyleElement type="firstRowStripe" dxfId="959"/>
      <tableStyleElement type="secondRowStripe" dxfId="958"/>
    </tableStyle>
    <tableStyle name="APR 2026-style 27" pivot="0" count="2" xr9:uid="{00000000-0011-0000-FFFF-FFFF1A000000}">
      <tableStyleElement type="firstRowStripe" dxfId="957"/>
      <tableStyleElement type="secondRowStripe" dxfId="956"/>
    </tableStyle>
    <tableStyle name="APR 2026-style 28" pivot="0" count="2" xr9:uid="{00000000-0011-0000-FFFF-FFFF1B000000}">
      <tableStyleElement type="firstRowStripe" dxfId="955"/>
      <tableStyleElement type="secondRowStripe" dxfId="954"/>
    </tableStyle>
    <tableStyle name="APR 2026-style 29" pivot="0" count="2" xr9:uid="{00000000-0011-0000-FFFF-FFFF1C000000}">
      <tableStyleElement type="firstRowStripe" dxfId="953"/>
      <tableStyleElement type="secondRowStripe" dxfId="952"/>
    </tableStyle>
    <tableStyle name="APR 2026-style 30" pivot="0" count="2" xr9:uid="{00000000-0011-0000-FFFF-FFFF1D000000}">
      <tableStyleElement type="firstRowStripe" dxfId="951"/>
      <tableStyleElement type="secondRowStripe" dxfId="950"/>
    </tableStyle>
    <tableStyle name="APR 2026-style 31" pivot="0" count="2" xr9:uid="{00000000-0011-0000-FFFF-FFFF1E000000}">
      <tableStyleElement type="firstRowStripe" dxfId="949"/>
      <tableStyleElement type="secondRowStripe" dxfId="948"/>
    </tableStyle>
    <tableStyle name="APR 2026-style 32" pivot="0" count="2" xr9:uid="{00000000-0011-0000-FFFF-FFFF1F000000}">
      <tableStyleElement type="firstRowStripe" dxfId="947"/>
      <tableStyleElement type="secondRowStripe" dxfId="946"/>
    </tableStyle>
    <tableStyle name="APR 2026-style 33" pivot="0" count="2" xr9:uid="{00000000-0011-0000-FFFF-FFFF20000000}">
      <tableStyleElement type="firstRowStripe" dxfId="945"/>
      <tableStyleElement type="secondRowStripe" dxfId="944"/>
    </tableStyle>
    <tableStyle name="APR 2026-style 34" pivot="0" count="2" xr9:uid="{00000000-0011-0000-FFFF-FFFF21000000}">
      <tableStyleElement type="firstRowStripe" dxfId="943"/>
      <tableStyleElement type="secondRowStripe" dxfId="942"/>
    </tableStyle>
    <tableStyle name="APR 2026-style 35" pivot="0" count="2" xr9:uid="{00000000-0011-0000-FFFF-FFFF22000000}">
      <tableStyleElement type="firstRowStripe" dxfId="941"/>
      <tableStyleElement type="secondRowStripe" dxfId="940"/>
    </tableStyle>
    <tableStyle name="APR 2026-style 36" pivot="0" count="2" xr9:uid="{00000000-0011-0000-FFFF-FFFF23000000}">
      <tableStyleElement type="firstRowStripe" dxfId="939"/>
      <tableStyleElement type="secondRowStripe" dxfId="938"/>
    </tableStyle>
    <tableStyle name="APR 2026-style 37" pivot="0" count="2" xr9:uid="{00000000-0011-0000-FFFF-FFFF24000000}">
      <tableStyleElement type="firstRowStripe" dxfId="937"/>
      <tableStyleElement type="secondRowStripe" dxfId="936"/>
    </tableStyle>
    <tableStyle name="APR 2026-style 38" pivot="0" count="2" xr9:uid="{00000000-0011-0000-FFFF-FFFF25000000}">
      <tableStyleElement type="firstRowStripe" dxfId="935"/>
      <tableStyleElement type="secondRowStripe" dxfId="934"/>
    </tableStyle>
    <tableStyle name="APR 2026-style 39" pivot="0" count="2" xr9:uid="{00000000-0011-0000-FFFF-FFFF26000000}">
      <tableStyleElement type="firstRowStripe" dxfId="933"/>
      <tableStyleElement type="secondRowStripe" dxfId="932"/>
    </tableStyle>
    <tableStyle name="APR 2026-style 40" pivot="0" count="2" xr9:uid="{00000000-0011-0000-FFFF-FFFF27000000}">
      <tableStyleElement type="firstRowStripe" dxfId="931"/>
      <tableStyleElement type="secondRowStripe" dxfId="930"/>
    </tableStyle>
    <tableStyle name="APR 2026-style 41" pivot="0" count="2" xr9:uid="{00000000-0011-0000-FFFF-FFFF28000000}">
      <tableStyleElement type="firstRowStripe" dxfId="929"/>
      <tableStyleElement type="secondRowStripe" dxfId="928"/>
    </tableStyle>
    <tableStyle name="APR 2026-style 42" pivot="0" count="2" xr9:uid="{00000000-0011-0000-FFFF-FFFF29000000}">
      <tableStyleElement type="firstRowStripe" dxfId="927"/>
      <tableStyleElement type="secondRowStripe" dxfId="926"/>
    </tableStyle>
    <tableStyle name="APR 2026-style 43" pivot="0" count="2" xr9:uid="{00000000-0011-0000-FFFF-FFFF2A000000}">
      <tableStyleElement type="firstRowStripe" dxfId="925"/>
      <tableStyleElement type="secondRowStripe" dxfId="924"/>
    </tableStyle>
    <tableStyle name="APR 2026-style 44" pivot="0" count="2" xr9:uid="{00000000-0011-0000-FFFF-FFFF2B000000}">
      <tableStyleElement type="firstRowStripe" dxfId="923"/>
      <tableStyleElement type="secondRowStripe" dxfId="922"/>
    </tableStyle>
    <tableStyle name="APR 2026-style 45" pivot="0" count="2" xr9:uid="{00000000-0011-0000-FFFF-FFFF2C000000}">
      <tableStyleElement type="firstRowStripe" dxfId="921"/>
      <tableStyleElement type="secondRowStripe" dxfId="920"/>
    </tableStyle>
    <tableStyle name="APR 2026-style 46" pivot="0" count="2" xr9:uid="{00000000-0011-0000-FFFF-FFFF2D000000}">
      <tableStyleElement type="firstRowStripe" dxfId="919"/>
      <tableStyleElement type="secondRowStripe" dxfId="918"/>
    </tableStyle>
    <tableStyle name="APR 2026-style 47" pivot="0" count="2" xr9:uid="{00000000-0011-0000-FFFF-FFFF2E000000}">
      <tableStyleElement type="firstRowStripe" dxfId="917"/>
      <tableStyleElement type="secondRowStripe" dxfId="916"/>
    </tableStyle>
    <tableStyle name="APR 2026-style 48" pivot="0" count="2" xr9:uid="{00000000-0011-0000-FFFF-FFFF2F000000}">
      <tableStyleElement type="firstRowStripe" dxfId="915"/>
      <tableStyleElement type="secondRowStripe" dxfId="914"/>
    </tableStyle>
    <tableStyle name="APR 2026-style 49" pivot="0" count="2" xr9:uid="{00000000-0011-0000-FFFF-FFFF30000000}">
      <tableStyleElement type="firstRowStripe" dxfId="913"/>
      <tableStyleElement type="secondRowStripe" dxfId="912"/>
    </tableStyle>
    <tableStyle name="APR 2026-style 50" pivot="0" count="2" xr9:uid="{00000000-0011-0000-FFFF-FFFF31000000}">
      <tableStyleElement type="firstRowStripe" dxfId="911"/>
      <tableStyleElement type="secondRowStripe" dxfId="910"/>
    </tableStyle>
    <tableStyle name="APR 2026-style 51" pivot="0" count="2" xr9:uid="{00000000-0011-0000-FFFF-FFFF32000000}">
      <tableStyleElement type="firstRowStripe" dxfId="909"/>
      <tableStyleElement type="secondRowStripe" dxfId="908"/>
    </tableStyle>
    <tableStyle name="APR 2026-style 52" pivot="0" count="2" xr9:uid="{00000000-0011-0000-FFFF-FFFF33000000}">
      <tableStyleElement type="firstRowStripe" dxfId="907"/>
      <tableStyleElement type="secondRowStripe" dxfId="906"/>
    </tableStyle>
    <tableStyle name="APR 2026-style 53" pivot="0" count="2" xr9:uid="{00000000-0011-0000-FFFF-FFFF34000000}">
      <tableStyleElement type="firstRowStripe" dxfId="905"/>
      <tableStyleElement type="secondRowStripe" dxfId="904"/>
    </tableStyle>
    <tableStyle name="APR 2026-style 54" pivot="0" count="2" xr9:uid="{00000000-0011-0000-FFFF-FFFF35000000}">
      <tableStyleElement type="firstRowStripe" dxfId="903"/>
      <tableStyleElement type="secondRowStripe" dxfId="902"/>
    </tableStyle>
    <tableStyle name="APR 2026-style 55" pivot="0" count="2" xr9:uid="{00000000-0011-0000-FFFF-FFFF36000000}">
      <tableStyleElement type="firstRowStripe" dxfId="901"/>
      <tableStyleElement type="secondRowStripe" dxfId="900"/>
    </tableStyle>
    <tableStyle name="APR 2026-style 56" pivot="0" count="2" xr9:uid="{00000000-0011-0000-FFFF-FFFF37000000}">
      <tableStyleElement type="firstRowStripe" dxfId="899"/>
      <tableStyleElement type="secondRowStripe" dxfId="898"/>
    </tableStyle>
    <tableStyle name="APR 2026-style 57" pivot="0" count="2" xr9:uid="{00000000-0011-0000-FFFF-FFFF38000000}">
      <tableStyleElement type="firstRowStripe" dxfId="897"/>
      <tableStyleElement type="secondRowStripe" dxfId="896"/>
    </tableStyle>
    <tableStyle name="APR 2026-style 58" pivot="0" count="2" xr9:uid="{00000000-0011-0000-FFFF-FFFF39000000}">
      <tableStyleElement type="firstRowStripe" dxfId="895"/>
      <tableStyleElement type="secondRowStripe" dxfId="894"/>
    </tableStyle>
    <tableStyle name="MAY 2026-style" pivot="0" count="2" xr9:uid="{00000000-0011-0000-FFFF-FFFF3A000000}">
      <tableStyleElement type="firstRowStripe" dxfId="893"/>
      <tableStyleElement type="secondRowStripe" dxfId="892"/>
    </tableStyle>
    <tableStyle name="MAY 2026-style 2" pivot="0" count="2" xr9:uid="{00000000-0011-0000-FFFF-FFFF3B000000}">
      <tableStyleElement type="firstRowStripe" dxfId="891"/>
      <tableStyleElement type="secondRowStripe" dxfId="890"/>
    </tableStyle>
    <tableStyle name="MAY 2026-style 3" pivot="0" count="2" xr9:uid="{00000000-0011-0000-FFFF-FFFF3C000000}">
      <tableStyleElement type="firstRowStripe" dxfId="889"/>
      <tableStyleElement type="secondRowStripe" dxfId="888"/>
    </tableStyle>
    <tableStyle name="MAY 2026-style 4" pivot="0" count="2" xr9:uid="{00000000-0011-0000-FFFF-FFFF3D000000}">
      <tableStyleElement type="firstRowStripe" dxfId="887"/>
      <tableStyleElement type="secondRowStripe" dxfId="886"/>
    </tableStyle>
    <tableStyle name="MAY 2026-style 5" pivot="0" count="2" xr9:uid="{00000000-0011-0000-FFFF-FFFF3E000000}">
      <tableStyleElement type="firstRowStripe" dxfId="885"/>
      <tableStyleElement type="secondRowStripe" dxfId="884"/>
    </tableStyle>
    <tableStyle name="MAY 2026-style 6" pivot="0" count="2" xr9:uid="{00000000-0011-0000-FFFF-FFFF3F000000}">
      <tableStyleElement type="firstRowStripe" dxfId="883"/>
      <tableStyleElement type="secondRowStripe" dxfId="882"/>
    </tableStyle>
    <tableStyle name="MAY 2026-style 7" pivot="0" count="2" xr9:uid="{00000000-0011-0000-FFFF-FFFF40000000}">
      <tableStyleElement type="firstRowStripe" dxfId="881"/>
      <tableStyleElement type="secondRowStripe" dxfId="880"/>
    </tableStyle>
    <tableStyle name="MAY 2026-style 8" pivot="0" count="2" xr9:uid="{00000000-0011-0000-FFFF-FFFF41000000}">
      <tableStyleElement type="firstRowStripe" dxfId="879"/>
      <tableStyleElement type="secondRowStripe" dxfId="878"/>
    </tableStyle>
    <tableStyle name="MAY 2026-style 9" pivot="0" count="2" xr9:uid="{00000000-0011-0000-FFFF-FFFF42000000}">
      <tableStyleElement type="firstRowStripe" dxfId="877"/>
      <tableStyleElement type="secondRowStripe" dxfId="876"/>
    </tableStyle>
    <tableStyle name="MAY 2026-style 10" pivot="0" count="2" xr9:uid="{00000000-0011-0000-FFFF-FFFF43000000}">
      <tableStyleElement type="firstRowStripe" dxfId="875"/>
      <tableStyleElement type="secondRowStripe" dxfId="874"/>
    </tableStyle>
    <tableStyle name="MAY 2026-style 11" pivot="0" count="2" xr9:uid="{00000000-0011-0000-FFFF-FFFF44000000}">
      <tableStyleElement type="firstRowStripe" dxfId="873"/>
      <tableStyleElement type="secondRowStripe" dxfId="872"/>
    </tableStyle>
    <tableStyle name="MAY 2026-style 12" pivot="0" count="2" xr9:uid="{00000000-0011-0000-FFFF-FFFF45000000}">
      <tableStyleElement type="firstRowStripe" dxfId="871"/>
      <tableStyleElement type="secondRowStripe" dxfId="870"/>
    </tableStyle>
    <tableStyle name="MAY 2026-style 13" pivot="0" count="2" xr9:uid="{00000000-0011-0000-FFFF-FFFF46000000}">
      <tableStyleElement type="firstRowStripe" dxfId="869"/>
      <tableStyleElement type="secondRowStripe" dxfId="868"/>
    </tableStyle>
    <tableStyle name="MAY 2026-style 14" pivot="0" count="2" xr9:uid="{00000000-0011-0000-FFFF-FFFF47000000}">
      <tableStyleElement type="firstRowStripe" dxfId="867"/>
      <tableStyleElement type="secondRowStripe" dxfId="866"/>
    </tableStyle>
    <tableStyle name="MAY 2026-style 15" pivot="0" count="2" xr9:uid="{00000000-0011-0000-FFFF-FFFF48000000}">
      <tableStyleElement type="firstRowStripe" dxfId="865"/>
      <tableStyleElement type="secondRowStripe" dxfId="864"/>
    </tableStyle>
    <tableStyle name="MAY 2026-style 16" pivot="0" count="2" xr9:uid="{00000000-0011-0000-FFFF-FFFF49000000}">
      <tableStyleElement type="firstRowStripe" dxfId="863"/>
      <tableStyleElement type="secondRowStripe" dxfId="862"/>
    </tableStyle>
    <tableStyle name="MAY 2026-style 17" pivot="0" count="2" xr9:uid="{00000000-0011-0000-FFFF-FFFF4A000000}">
      <tableStyleElement type="firstRowStripe" dxfId="861"/>
      <tableStyleElement type="secondRowStripe" dxfId="860"/>
    </tableStyle>
    <tableStyle name="MAY 2026-style 18" pivot="0" count="2" xr9:uid="{00000000-0011-0000-FFFF-FFFF4B000000}">
      <tableStyleElement type="firstRowStripe" dxfId="859"/>
      <tableStyleElement type="secondRowStripe" dxfId="858"/>
    </tableStyle>
    <tableStyle name="MAY 2026-style 19" pivot="0" count="2" xr9:uid="{00000000-0011-0000-FFFF-FFFF4C000000}">
      <tableStyleElement type="firstRowStripe" dxfId="857"/>
      <tableStyleElement type="secondRowStripe" dxfId="856"/>
    </tableStyle>
    <tableStyle name="MAY 2026-style 20" pivot="0" count="2" xr9:uid="{00000000-0011-0000-FFFF-FFFF4D000000}">
      <tableStyleElement type="firstRowStripe" dxfId="855"/>
      <tableStyleElement type="secondRowStripe" dxfId="854"/>
    </tableStyle>
    <tableStyle name="MAY 2026-style 21" pivot="0" count="2" xr9:uid="{00000000-0011-0000-FFFF-FFFF4E000000}">
      <tableStyleElement type="firstRowStripe" dxfId="853"/>
      <tableStyleElement type="secondRowStripe" dxfId="852"/>
    </tableStyle>
    <tableStyle name="MAY 2026-style 22" pivot="0" count="2" xr9:uid="{00000000-0011-0000-FFFF-FFFF4F000000}">
      <tableStyleElement type="firstRowStripe" dxfId="851"/>
      <tableStyleElement type="secondRowStripe" dxfId="850"/>
    </tableStyle>
    <tableStyle name="MAY 2026-style 23" pivot="0" count="2" xr9:uid="{00000000-0011-0000-FFFF-FFFF50000000}">
      <tableStyleElement type="firstRowStripe" dxfId="849"/>
      <tableStyleElement type="secondRowStripe" dxfId="848"/>
    </tableStyle>
    <tableStyle name="MAY 2026-style 24" pivot="0" count="2" xr9:uid="{00000000-0011-0000-FFFF-FFFF51000000}">
      <tableStyleElement type="firstRowStripe" dxfId="847"/>
      <tableStyleElement type="secondRowStripe" dxfId="846"/>
    </tableStyle>
    <tableStyle name="MAY 2026-style 25" pivot="0" count="2" xr9:uid="{00000000-0011-0000-FFFF-FFFF52000000}">
      <tableStyleElement type="firstRowStripe" dxfId="845"/>
      <tableStyleElement type="secondRowStripe" dxfId="844"/>
    </tableStyle>
    <tableStyle name="MAY 2026-style 26" pivot="0" count="2" xr9:uid="{00000000-0011-0000-FFFF-FFFF53000000}">
      <tableStyleElement type="firstRowStripe" dxfId="843"/>
      <tableStyleElement type="secondRowStripe" dxfId="842"/>
    </tableStyle>
    <tableStyle name="MAY 2026-style 27" pivot="0" count="2" xr9:uid="{00000000-0011-0000-FFFF-FFFF54000000}">
      <tableStyleElement type="firstRowStripe" dxfId="841"/>
      <tableStyleElement type="secondRowStripe" dxfId="840"/>
    </tableStyle>
    <tableStyle name="MAY 2026-style 28" pivot="0" count="2" xr9:uid="{00000000-0011-0000-FFFF-FFFF55000000}">
      <tableStyleElement type="firstRowStripe" dxfId="839"/>
      <tableStyleElement type="secondRowStripe" dxfId="838"/>
    </tableStyle>
    <tableStyle name="MAY 2026-style 29" pivot="0" count="2" xr9:uid="{00000000-0011-0000-FFFF-FFFF56000000}">
      <tableStyleElement type="firstRowStripe" dxfId="837"/>
      <tableStyleElement type="secondRowStripe" dxfId="836"/>
    </tableStyle>
    <tableStyle name="MAY 2026-style 30" pivot="0" count="2" xr9:uid="{00000000-0011-0000-FFFF-FFFF57000000}">
      <tableStyleElement type="firstRowStripe" dxfId="835"/>
      <tableStyleElement type="secondRowStripe" dxfId="834"/>
    </tableStyle>
    <tableStyle name="MAY 2026-style 31" pivot="0" count="2" xr9:uid="{00000000-0011-0000-FFFF-FFFF58000000}">
      <tableStyleElement type="firstRowStripe" dxfId="833"/>
      <tableStyleElement type="secondRowStripe" dxfId="832"/>
    </tableStyle>
    <tableStyle name="MAY 2026-style 32" pivot="0" count="2" xr9:uid="{00000000-0011-0000-FFFF-FFFF59000000}">
      <tableStyleElement type="firstRowStripe" dxfId="831"/>
      <tableStyleElement type="secondRowStripe" dxfId="830"/>
    </tableStyle>
    <tableStyle name="MAY 2026-style 33" pivot="0" count="2" xr9:uid="{00000000-0011-0000-FFFF-FFFF5A000000}">
      <tableStyleElement type="firstRowStripe" dxfId="829"/>
      <tableStyleElement type="secondRowStripe" dxfId="828"/>
    </tableStyle>
    <tableStyle name="MAY 2026-style 34" pivot="0" count="2" xr9:uid="{00000000-0011-0000-FFFF-FFFF5B000000}">
      <tableStyleElement type="firstRowStripe" dxfId="827"/>
      <tableStyleElement type="secondRowStripe" dxfId="826"/>
    </tableStyle>
    <tableStyle name="MAY 2026-style 35" pivot="0" count="2" xr9:uid="{00000000-0011-0000-FFFF-FFFF5C000000}">
      <tableStyleElement type="firstRowStripe" dxfId="825"/>
      <tableStyleElement type="secondRowStripe" dxfId="824"/>
    </tableStyle>
    <tableStyle name="MAY 2026-style 36" pivot="0" count="2" xr9:uid="{00000000-0011-0000-FFFF-FFFF5D000000}">
      <tableStyleElement type="firstRowStripe" dxfId="823"/>
      <tableStyleElement type="secondRowStripe" dxfId="822"/>
    </tableStyle>
    <tableStyle name="MAY 2026-style 37" pivot="0" count="2" xr9:uid="{00000000-0011-0000-FFFF-FFFF5E000000}">
      <tableStyleElement type="firstRowStripe" dxfId="821"/>
      <tableStyleElement type="secondRowStripe" dxfId="820"/>
    </tableStyle>
    <tableStyle name="MAY 2026-style 38" pivot="0" count="2" xr9:uid="{00000000-0011-0000-FFFF-FFFF5F000000}">
      <tableStyleElement type="firstRowStripe" dxfId="819"/>
      <tableStyleElement type="secondRowStripe" dxfId="818"/>
    </tableStyle>
    <tableStyle name="MAY 2026-style 39" pivot="0" count="2" xr9:uid="{00000000-0011-0000-FFFF-FFFF60000000}">
      <tableStyleElement type="firstRowStripe" dxfId="817"/>
      <tableStyleElement type="secondRowStripe" dxfId="816"/>
    </tableStyle>
    <tableStyle name="MAY 2026-style 40" pivot="0" count="2" xr9:uid="{00000000-0011-0000-FFFF-FFFF61000000}">
      <tableStyleElement type="firstRowStripe" dxfId="815"/>
      <tableStyleElement type="secondRowStripe" dxfId="814"/>
    </tableStyle>
    <tableStyle name="MAY 2026-style 41" pivot="0" count="2" xr9:uid="{00000000-0011-0000-FFFF-FFFF62000000}">
      <tableStyleElement type="firstRowStripe" dxfId="813"/>
      <tableStyleElement type="secondRowStripe" dxfId="812"/>
    </tableStyle>
    <tableStyle name="MAY 2026-style 42" pivot="0" count="2" xr9:uid="{00000000-0011-0000-FFFF-FFFF63000000}">
      <tableStyleElement type="firstRowStripe" dxfId="811"/>
      <tableStyleElement type="secondRowStripe" dxfId="810"/>
    </tableStyle>
    <tableStyle name="MAY 2026-style 43" pivot="0" count="2" xr9:uid="{00000000-0011-0000-FFFF-FFFF64000000}">
      <tableStyleElement type="firstRowStripe" dxfId="809"/>
      <tableStyleElement type="secondRowStripe" dxfId="808"/>
    </tableStyle>
    <tableStyle name="MAY 2026-style 44" pivot="0" count="2" xr9:uid="{00000000-0011-0000-FFFF-FFFF65000000}">
      <tableStyleElement type="firstRowStripe" dxfId="807"/>
      <tableStyleElement type="secondRowStripe" dxfId="806"/>
    </tableStyle>
    <tableStyle name="MAY 2026-style 45" pivot="0" count="2" xr9:uid="{00000000-0011-0000-FFFF-FFFF66000000}">
      <tableStyleElement type="firstRowStripe" dxfId="805"/>
      <tableStyleElement type="secondRowStripe" dxfId="804"/>
    </tableStyle>
    <tableStyle name="MAY 2026-style 46" pivot="0" count="2" xr9:uid="{00000000-0011-0000-FFFF-FFFF67000000}">
      <tableStyleElement type="firstRowStripe" dxfId="803"/>
      <tableStyleElement type="secondRowStripe" dxfId="802"/>
    </tableStyle>
    <tableStyle name="MAY 2026-style 47" pivot="0" count="2" xr9:uid="{00000000-0011-0000-FFFF-FFFF68000000}">
      <tableStyleElement type="firstRowStripe" dxfId="801"/>
      <tableStyleElement type="secondRowStripe" dxfId="800"/>
    </tableStyle>
    <tableStyle name="MAY 2026-style 48" pivot="0" count="2" xr9:uid="{00000000-0011-0000-FFFF-FFFF69000000}">
      <tableStyleElement type="firstRowStripe" dxfId="799"/>
      <tableStyleElement type="secondRowStripe" dxfId="798"/>
    </tableStyle>
    <tableStyle name="MAY 2026-style 49" pivot="0" count="2" xr9:uid="{00000000-0011-0000-FFFF-FFFF6A000000}">
      <tableStyleElement type="firstRowStripe" dxfId="797"/>
      <tableStyleElement type="secondRowStripe" dxfId="796"/>
    </tableStyle>
    <tableStyle name="MAY 2026-style 50" pivot="0" count="2" xr9:uid="{00000000-0011-0000-FFFF-FFFF6B000000}">
      <tableStyleElement type="firstRowStripe" dxfId="795"/>
      <tableStyleElement type="secondRowStripe" dxfId="794"/>
    </tableStyle>
    <tableStyle name="MAY 2026-style 51" pivot="0" count="2" xr9:uid="{00000000-0011-0000-FFFF-FFFF6C000000}">
      <tableStyleElement type="firstRowStripe" dxfId="793"/>
      <tableStyleElement type="secondRowStripe" dxfId="792"/>
    </tableStyle>
    <tableStyle name="MAY 2026-style 52" pivot="0" count="2" xr9:uid="{00000000-0011-0000-FFFF-FFFF6D000000}">
      <tableStyleElement type="firstRowStripe" dxfId="791"/>
      <tableStyleElement type="secondRowStripe" dxfId="790"/>
    </tableStyle>
    <tableStyle name="MAY 2026-style 53" pivot="0" count="2" xr9:uid="{00000000-0011-0000-FFFF-FFFF6E000000}">
      <tableStyleElement type="firstRowStripe" dxfId="789"/>
      <tableStyleElement type="secondRowStripe" dxfId="788"/>
    </tableStyle>
    <tableStyle name="MAY 2026-style 54" pivot="0" count="2" xr9:uid="{00000000-0011-0000-FFFF-FFFF6F000000}">
      <tableStyleElement type="firstRowStripe" dxfId="787"/>
      <tableStyleElement type="secondRowStripe" dxfId="786"/>
    </tableStyle>
    <tableStyle name="MAY 2026-style 55" pivot="0" count="2" xr9:uid="{00000000-0011-0000-FFFF-FFFF70000000}">
      <tableStyleElement type="firstRowStripe" dxfId="785"/>
      <tableStyleElement type="secondRowStripe" dxfId="784"/>
    </tableStyle>
    <tableStyle name="MAY 2026-style 56" pivot="0" count="2" xr9:uid="{00000000-0011-0000-FFFF-FFFF71000000}">
      <tableStyleElement type="firstRowStripe" dxfId="783"/>
      <tableStyleElement type="secondRowStripe" dxfId="782"/>
    </tableStyle>
    <tableStyle name="MAY 2026-style 57" pivot="0" count="2" xr9:uid="{00000000-0011-0000-FFFF-FFFF72000000}">
      <tableStyleElement type="firstRowStripe" dxfId="781"/>
      <tableStyleElement type="secondRowStripe" dxfId="780"/>
    </tableStyle>
    <tableStyle name="MAY 2026-style 58" pivot="0" count="2" xr9:uid="{00000000-0011-0000-FFFF-FFFF73000000}">
      <tableStyleElement type="firstRowStripe" dxfId="779"/>
      <tableStyleElement type="secondRowStripe" dxfId="778"/>
    </tableStyle>
    <tableStyle name="MAY 2026-style 59" pivot="0" count="2" xr9:uid="{00000000-0011-0000-FFFF-FFFF74000000}">
      <tableStyleElement type="firstRowStripe" dxfId="777"/>
      <tableStyleElement type="secondRowStripe" dxfId="776"/>
    </tableStyle>
    <tableStyle name="MAY 2026-style 60" pivot="0" count="2" xr9:uid="{00000000-0011-0000-FFFF-FFFF75000000}">
      <tableStyleElement type="firstRowStripe" dxfId="775"/>
      <tableStyleElement type="secondRowStripe" dxfId="774"/>
    </tableStyle>
    <tableStyle name="MAY 2026-style 61" pivot="0" count="2" xr9:uid="{00000000-0011-0000-FFFF-FFFF76000000}">
      <tableStyleElement type="firstRowStripe" dxfId="773"/>
      <tableStyleElement type="secondRowStripe" dxfId="772"/>
    </tableStyle>
    <tableStyle name="MAY 2026-style 62" pivot="0" count="2" xr9:uid="{00000000-0011-0000-FFFF-FFFF77000000}">
      <tableStyleElement type="firstRowStripe" dxfId="771"/>
      <tableStyleElement type="secondRowStripe" dxfId="770"/>
    </tableStyle>
    <tableStyle name="MAY 2026-style 63" pivot="0" count="2" xr9:uid="{00000000-0011-0000-FFFF-FFFF78000000}">
      <tableStyleElement type="firstRowStripe" dxfId="769"/>
      <tableStyleElement type="secondRowStripe" dxfId="768"/>
    </tableStyle>
    <tableStyle name="MAY 2026-style 64" pivot="0" count="2" xr9:uid="{00000000-0011-0000-FFFF-FFFF79000000}">
      <tableStyleElement type="firstRowStripe" dxfId="767"/>
      <tableStyleElement type="secondRowStripe" dxfId="766"/>
    </tableStyle>
    <tableStyle name="MAY 2026-style 65" pivot="0" count="2" xr9:uid="{00000000-0011-0000-FFFF-FFFF7A000000}">
      <tableStyleElement type="firstRowStripe" dxfId="765"/>
      <tableStyleElement type="secondRowStripe" dxfId="764"/>
    </tableStyle>
    <tableStyle name="MAY 2026-style 66" pivot="0" count="2" xr9:uid="{00000000-0011-0000-FFFF-FFFF7B000000}">
      <tableStyleElement type="firstRowStripe" dxfId="763"/>
      <tableStyleElement type="secondRowStripe" dxfId="762"/>
    </tableStyle>
    <tableStyle name="MAY 2026-style 67" pivot="0" count="2" xr9:uid="{00000000-0011-0000-FFFF-FFFF7C000000}">
      <tableStyleElement type="firstRowStripe" dxfId="761"/>
      <tableStyleElement type="secondRowStripe" dxfId="760"/>
    </tableStyle>
    <tableStyle name="MAY 2026-style 68" pivot="0" count="2" xr9:uid="{00000000-0011-0000-FFFF-FFFF7D000000}">
      <tableStyleElement type="firstRowStripe" dxfId="759"/>
      <tableStyleElement type="secondRowStripe" dxfId="758"/>
    </tableStyle>
    <tableStyle name="MAY 2026-style 69" pivot="0" count="2" xr9:uid="{00000000-0011-0000-FFFF-FFFF7E000000}">
      <tableStyleElement type="firstRowStripe" dxfId="757"/>
      <tableStyleElement type="secondRowStripe" dxfId="756"/>
    </tableStyle>
    <tableStyle name="MAY 2026-style 70" pivot="0" count="2" xr9:uid="{00000000-0011-0000-FFFF-FFFF7F000000}">
      <tableStyleElement type="firstRowStripe" dxfId="755"/>
      <tableStyleElement type="secondRowStripe" dxfId="754"/>
    </tableStyle>
    <tableStyle name="MAY 2026-style 71" pivot="0" count="2" xr9:uid="{00000000-0011-0000-FFFF-FFFF80000000}">
      <tableStyleElement type="firstRowStripe" dxfId="753"/>
      <tableStyleElement type="secondRowStripe" dxfId="752"/>
    </tableStyle>
    <tableStyle name="MAY 2026-style 72" pivot="0" count="2" xr9:uid="{00000000-0011-0000-FFFF-FFFF81000000}">
      <tableStyleElement type="firstRowStripe" dxfId="751"/>
      <tableStyleElement type="secondRowStripe" dxfId="750"/>
    </tableStyle>
    <tableStyle name="MAY 2026-style 73" pivot="0" count="2" xr9:uid="{00000000-0011-0000-FFFF-FFFF82000000}">
      <tableStyleElement type="firstRowStripe" dxfId="749"/>
      <tableStyleElement type="secondRowStripe" dxfId="748"/>
    </tableStyle>
    <tableStyle name="MAY 2026-style 74" pivot="0" count="2" xr9:uid="{00000000-0011-0000-FFFF-FFFF83000000}">
      <tableStyleElement type="firstRowStripe" dxfId="747"/>
      <tableStyleElement type="secondRowStripe" dxfId="746"/>
    </tableStyle>
    <tableStyle name="MAY 2026-style 75" pivot="0" count="2" xr9:uid="{00000000-0011-0000-FFFF-FFFF84000000}">
      <tableStyleElement type="firstRowStripe" dxfId="745"/>
      <tableStyleElement type="secondRowStripe" dxfId="744"/>
    </tableStyle>
    <tableStyle name="MAY 2026-style 76" pivot="0" count="2" xr9:uid="{00000000-0011-0000-FFFF-FFFF85000000}">
      <tableStyleElement type="firstRowStripe" dxfId="743"/>
      <tableStyleElement type="secondRowStripe" dxfId="742"/>
    </tableStyle>
    <tableStyle name="MAY 2026-style 77" pivot="0" count="2" xr9:uid="{00000000-0011-0000-FFFF-FFFF86000000}">
      <tableStyleElement type="firstRowStripe" dxfId="741"/>
      <tableStyleElement type="secondRowStripe" dxfId="740"/>
    </tableStyle>
    <tableStyle name="MAY 2026-style 78" pivot="0" count="2" xr9:uid="{00000000-0011-0000-FFFF-FFFF87000000}">
      <tableStyleElement type="firstRowStripe" dxfId="739"/>
      <tableStyleElement type="secondRowStripe" dxfId="738"/>
    </tableStyle>
    <tableStyle name="MAY 2026-style 79" pivot="0" count="2" xr9:uid="{00000000-0011-0000-FFFF-FFFF88000000}">
      <tableStyleElement type="firstRowStripe" dxfId="737"/>
      <tableStyleElement type="secondRowStripe" dxfId="736"/>
    </tableStyle>
    <tableStyle name="MAY 2026-style 80" pivot="0" count="2" xr9:uid="{00000000-0011-0000-FFFF-FFFF89000000}">
      <tableStyleElement type="firstRowStripe" dxfId="735"/>
      <tableStyleElement type="secondRowStripe" dxfId="734"/>
    </tableStyle>
    <tableStyle name="MAY 2026-style 81" pivot="0" count="2" xr9:uid="{00000000-0011-0000-FFFF-FFFF8A000000}">
      <tableStyleElement type="firstRowStripe" dxfId="733"/>
      <tableStyleElement type="secondRowStripe" dxfId="732"/>
    </tableStyle>
    <tableStyle name="MAY 2026-style 82" pivot="0" count="2" xr9:uid="{00000000-0011-0000-FFFF-FFFF8B000000}">
      <tableStyleElement type="firstRowStripe" dxfId="731"/>
      <tableStyleElement type="secondRowStripe" dxfId="730"/>
    </tableStyle>
    <tableStyle name="MAY 2026-style 83" pivot="0" count="2" xr9:uid="{00000000-0011-0000-FFFF-FFFF8C000000}">
      <tableStyleElement type="firstRowStripe" dxfId="729"/>
      <tableStyleElement type="secondRowStripe" dxfId="728"/>
    </tableStyle>
    <tableStyle name="MAY 2026-style 84" pivot="0" count="2" xr9:uid="{00000000-0011-0000-FFFF-FFFF8D000000}">
      <tableStyleElement type="firstRowStripe" dxfId="727"/>
      <tableStyleElement type="secondRowStripe" dxfId="726"/>
    </tableStyle>
    <tableStyle name="MAY 2026-style 85" pivot="0" count="2" xr9:uid="{00000000-0011-0000-FFFF-FFFF8E000000}">
      <tableStyleElement type="firstRowStripe" dxfId="725"/>
      <tableStyleElement type="secondRowStripe" dxfId="724"/>
    </tableStyle>
    <tableStyle name="MAY 2026-style 86" pivot="0" count="2" xr9:uid="{00000000-0011-0000-FFFF-FFFF8F000000}">
      <tableStyleElement type="firstRowStripe" dxfId="723"/>
      <tableStyleElement type="secondRowStripe" dxfId="722"/>
    </tableStyle>
    <tableStyle name="MAY 2026-style 87" pivot="0" count="2" xr9:uid="{00000000-0011-0000-FFFF-FFFF90000000}">
      <tableStyleElement type="firstRowStripe" dxfId="721"/>
      <tableStyleElement type="secondRowStripe" dxfId="720"/>
    </tableStyle>
    <tableStyle name="MAY 2026-style 88" pivot="0" count="2" xr9:uid="{00000000-0011-0000-FFFF-FFFF91000000}">
      <tableStyleElement type="firstRowStripe" dxfId="719"/>
      <tableStyleElement type="secondRowStripe" dxfId="718"/>
    </tableStyle>
    <tableStyle name="MAY 2026-style 89" pivot="0" count="2" xr9:uid="{00000000-0011-0000-FFFF-FFFF92000000}">
      <tableStyleElement type="firstRowStripe" dxfId="717"/>
      <tableStyleElement type="secondRowStripe" dxfId="716"/>
    </tableStyle>
    <tableStyle name="MAY 2026-style 90" pivot="0" count="2" xr9:uid="{00000000-0011-0000-FFFF-FFFF93000000}">
      <tableStyleElement type="firstRowStripe" dxfId="715"/>
      <tableStyleElement type="secondRowStripe" dxfId="714"/>
    </tableStyle>
    <tableStyle name="MAY 2026-style 91" pivot="0" count="2" xr9:uid="{00000000-0011-0000-FFFF-FFFF94000000}">
      <tableStyleElement type="firstRowStripe" dxfId="713"/>
      <tableStyleElement type="secondRowStripe" dxfId="712"/>
    </tableStyle>
    <tableStyle name="MAY 2026-style 92" pivot="0" count="2" xr9:uid="{00000000-0011-0000-FFFF-FFFF95000000}">
      <tableStyleElement type="firstRowStripe" dxfId="711"/>
      <tableStyleElement type="secondRowStripe" dxfId="710"/>
    </tableStyle>
    <tableStyle name="MAY 2026-style 93" pivot="0" count="2" xr9:uid="{00000000-0011-0000-FFFF-FFFF96000000}">
      <tableStyleElement type="firstRowStripe" dxfId="709"/>
      <tableStyleElement type="secondRowStripe" dxfId="708"/>
    </tableStyle>
    <tableStyle name="MAY 2026-style 94" pivot="0" count="2" xr9:uid="{00000000-0011-0000-FFFF-FFFF97000000}">
      <tableStyleElement type="firstRowStripe" dxfId="707"/>
      <tableStyleElement type="secondRowStripe" dxfId="706"/>
    </tableStyle>
    <tableStyle name="MAY 2026-style 95" pivot="0" count="2" xr9:uid="{00000000-0011-0000-FFFF-FFFF98000000}">
      <tableStyleElement type="firstRowStripe" dxfId="705"/>
      <tableStyleElement type="secondRowStripe" dxfId="704"/>
    </tableStyle>
    <tableStyle name="MAY 2026-style 96" pivot="0" count="2" xr9:uid="{00000000-0011-0000-FFFF-FFFF99000000}">
      <tableStyleElement type="firstRowStripe" dxfId="703"/>
      <tableStyleElement type="secondRowStripe" dxfId="702"/>
    </tableStyle>
    <tableStyle name="MAY 2026-style 97" pivot="0" count="2" xr9:uid="{00000000-0011-0000-FFFF-FFFF9A000000}">
      <tableStyleElement type="firstRowStripe" dxfId="701"/>
      <tableStyleElement type="secondRowStripe" dxfId="700"/>
    </tableStyle>
    <tableStyle name="MAY 2026-style 98" pivot="0" count="2" xr9:uid="{00000000-0011-0000-FFFF-FFFF9B000000}">
      <tableStyleElement type="firstRowStripe" dxfId="699"/>
      <tableStyleElement type="secondRowStripe" dxfId="698"/>
    </tableStyle>
    <tableStyle name="MAY 2026-style 99" pivot="0" count="2" xr9:uid="{00000000-0011-0000-FFFF-FFFF9C000000}">
      <tableStyleElement type="firstRowStripe" dxfId="697"/>
      <tableStyleElement type="secondRowStripe" dxfId="696"/>
    </tableStyle>
    <tableStyle name="MAY 2026-style 100" pivot="0" count="2" xr9:uid="{00000000-0011-0000-FFFF-FFFF9D000000}">
      <tableStyleElement type="firstRowStripe" dxfId="695"/>
      <tableStyleElement type="secondRowStripe" dxfId="694"/>
    </tableStyle>
    <tableStyle name="MAY 2026-style 101" pivot="0" count="2" xr9:uid="{00000000-0011-0000-FFFF-FFFF9E000000}">
      <tableStyleElement type="firstRowStripe" dxfId="693"/>
      <tableStyleElement type="secondRowStripe" dxfId="692"/>
    </tableStyle>
    <tableStyle name="MAY 2026-style 102" pivot="0" count="2" xr9:uid="{00000000-0011-0000-FFFF-FFFF9F000000}">
      <tableStyleElement type="firstRowStripe" dxfId="691"/>
      <tableStyleElement type="secondRowStripe" dxfId="690"/>
    </tableStyle>
    <tableStyle name="MAY 2026-style 103" pivot="0" count="2" xr9:uid="{00000000-0011-0000-FFFF-FFFFA0000000}">
      <tableStyleElement type="firstRowStripe" dxfId="689"/>
      <tableStyleElement type="secondRowStripe" dxfId="688"/>
    </tableStyle>
    <tableStyle name="MAY 2026-style 104" pivot="0" count="2" xr9:uid="{00000000-0011-0000-FFFF-FFFFA1000000}">
      <tableStyleElement type="firstRowStripe" dxfId="687"/>
      <tableStyleElement type="secondRowStripe" dxfId="686"/>
    </tableStyle>
    <tableStyle name="MAY 2026-style 105" pivot="0" count="2" xr9:uid="{00000000-0011-0000-FFFF-FFFFA2000000}">
      <tableStyleElement type="firstRowStripe" dxfId="685"/>
      <tableStyleElement type="secondRowStripe" dxfId="684"/>
    </tableStyle>
    <tableStyle name="MAY 2026-style 106" pivot="0" count="2" xr9:uid="{00000000-0011-0000-FFFF-FFFFA3000000}">
      <tableStyleElement type="firstRowStripe" dxfId="683"/>
      <tableStyleElement type="secondRowStripe" dxfId="682"/>
    </tableStyle>
    <tableStyle name="MAY 2026-style 107" pivot="0" count="2" xr9:uid="{00000000-0011-0000-FFFF-FFFFA4000000}">
      <tableStyleElement type="firstRowStripe" dxfId="681"/>
      <tableStyleElement type="secondRowStripe" dxfId="680"/>
    </tableStyle>
    <tableStyle name="MAY 2026-style 108" pivot="0" count="2" xr9:uid="{00000000-0011-0000-FFFF-FFFFA5000000}">
      <tableStyleElement type="firstRowStripe" dxfId="679"/>
      <tableStyleElement type="secondRowStripe" dxfId="678"/>
    </tableStyle>
    <tableStyle name="MAY 2026-style 109" pivot="0" count="2" xr9:uid="{00000000-0011-0000-FFFF-FFFFA6000000}">
      <tableStyleElement type="firstRowStripe" dxfId="677"/>
      <tableStyleElement type="secondRowStripe" dxfId="676"/>
    </tableStyle>
    <tableStyle name="MAY 2026-style 110" pivot="0" count="2" xr9:uid="{00000000-0011-0000-FFFF-FFFFA7000000}">
      <tableStyleElement type="firstRowStripe" dxfId="675"/>
      <tableStyleElement type="secondRowStripe" dxfId="674"/>
    </tableStyle>
    <tableStyle name="MAY 2026-style 111" pivot="0" count="2" xr9:uid="{00000000-0011-0000-FFFF-FFFFA8000000}">
      <tableStyleElement type="firstRowStripe" dxfId="673"/>
      <tableStyleElement type="secondRowStripe" dxfId="672"/>
    </tableStyle>
    <tableStyle name="MAY 2026-style 112" pivot="0" count="2" xr9:uid="{00000000-0011-0000-FFFF-FFFFA9000000}">
      <tableStyleElement type="firstRowStripe" dxfId="671"/>
      <tableStyleElement type="secondRowStripe" dxfId="670"/>
    </tableStyle>
    <tableStyle name="MAY 2026-style 113" pivot="0" count="2" xr9:uid="{00000000-0011-0000-FFFF-FFFFAA000000}">
      <tableStyleElement type="firstRowStripe" dxfId="669"/>
      <tableStyleElement type="secondRowStripe" dxfId="668"/>
    </tableStyle>
    <tableStyle name="MAY 2026-style 114" pivot="0" count="2" xr9:uid="{00000000-0011-0000-FFFF-FFFFAB000000}">
      <tableStyleElement type="firstRowStripe" dxfId="667"/>
      <tableStyleElement type="secondRowStripe" dxfId="666"/>
    </tableStyle>
    <tableStyle name="MAY 2026-style 115" pivot="0" count="2" xr9:uid="{00000000-0011-0000-FFFF-FFFFAC000000}">
      <tableStyleElement type="firstRowStripe" dxfId="665"/>
      <tableStyleElement type="secondRowStripe" dxfId="664"/>
    </tableStyle>
    <tableStyle name="MAY 2026-style 116" pivot="0" count="2" xr9:uid="{00000000-0011-0000-FFFF-FFFFAD000000}">
      <tableStyleElement type="firstRowStripe" dxfId="663"/>
      <tableStyleElement type="secondRowStripe" dxfId="662"/>
    </tableStyle>
    <tableStyle name="MAY 2026-style 117" pivot="0" count="2" xr9:uid="{00000000-0011-0000-FFFF-FFFFAE000000}">
      <tableStyleElement type="firstRowStripe" dxfId="661"/>
      <tableStyleElement type="secondRowStripe" dxfId="660"/>
    </tableStyle>
    <tableStyle name="MAY 2026-style 118" pivot="0" count="2" xr9:uid="{00000000-0011-0000-FFFF-FFFFAF000000}">
      <tableStyleElement type="firstRowStripe" dxfId="659"/>
      <tableStyleElement type="secondRowStripe" dxfId="658"/>
    </tableStyle>
    <tableStyle name="MAY 2026-style 119" pivot="0" count="2" xr9:uid="{00000000-0011-0000-FFFF-FFFFB0000000}">
      <tableStyleElement type="firstRowStripe" dxfId="657"/>
      <tableStyleElement type="secondRowStripe" dxfId="656"/>
    </tableStyle>
    <tableStyle name="MAY 2026-style 120" pivot="0" count="2" xr9:uid="{00000000-0011-0000-FFFF-FFFFB1000000}">
      <tableStyleElement type="firstRowStripe" dxfId="655"/>
      <tableStyleElement type="secondRowStripe" dxfId="654"/>
    </tableStyle>
    <tableStyle name="MAY 2026-style 121" pivot="0" count="2" xr9:uid="{00000000-0011-0000-FFFF-FFFFB2000000}">
      <tableStyleElement type="firstRowStripe" dxfId="653"/>
      <tableStyleElement type="secondRowStripe" dxfId="652"/>
    </tableStyle>
    <tableStyle name="MAY 2026-style 122" pivot="0" count="2" xr9:uid="{00000000-0011-0000-FFFF-FFFFB3000000}">
      <tableStyleElement type="firstRowStripe" dxfId="651"/>
      <tableStyleElement type="secondRowStripe" dxfId="650"/>
    </tableStyle>
    <tableStyle name="MAY 2026-style 123" pivot="0" count="2" xr9:uid="{00000000-0011-0000-FFFF-FFFFB4000000}">
      <tableStyleElement type="firstRowStripe" dxfId="649"/>
      <tableStyleElement type="secondRowStripe" dxfId="648"/>
    </tableStyle>
    <tableStyle name="MAY 2026-style 124" pivot="0" count="2" xr9:uid="{00000000-0011-0000-FFFF-FFFFB5000000}">
      <tableStyleElement type="firstRowStripe" dxfId="647"/>
      <tableStyleElement type="secondRowStripe" dxfId="646"/>
    </tableStyle>
    <tableStyle name="MAY 2026-style 125" pivot="0" count="2" xr9:uid="{00000000-0011-0000-FFFF-FFFFB6000000}">
      <tableStyleElement type="firstRowStripe" dxfId="645"/>
      <tableStyleElement type="secondRowStripe" dxfId="644"/>
    </tableStyle>
    <tableStyle name="MAY 2026-style 126" pivot="0" count="2" xr9:uid="{00000000-0011-0000-FFFF-FFFFB7000000}">
      <tableStyleElement type="firstRowStripe" dxfId="643"/>
      <tableStyleElement type="secondRowStripe" dxfId="642"/>
    </tableStyle>
    <tableStyle name="MAY 2026-style 127" pivot="0" count="2" xr9:uid="{00000000-0011-0000-FFFF-FFFFB8000000}">
      <tableStyleElement type="firstRowStripe" dxfId="641"/>
      <tableStyleElement type="secondRowStripe" dxfId="640"/>
    </tableStyle>
    <tableStyle name="MAY 2026-style 128" pivot="0" count="2" xr9:uid="{00000000-0011-0000-FFFF-FFFFB9000000}">
      <tableStyleElement type="firstRowStripe" dxfId="639"/>
      <tableStyleElement type="secondRowStripe" dxfId="638"/>
    </tableStyle>
    <tableStyle name="MAY 2026-style 129" pivot="0" count="2" xr9:uid="{00000000-0011-0000-FFFF-FFFFBA000000}">
      <tableStyleElement type="firstRowStripe" dxfId="637"/>
      <tableStyleElement type="secondRowStripe" dxfId="636"/>
    </tableStyle>
    <tableStyle name="MAY 2026-style 130" pivot="0" count="2" xr9:uid="{00000000-0011-0000-FFFF-FFFFBB000000}">
      <tableStyleElement type="firstRowStripe" dxfId="635"/>
      <tableStyleElement type="secondRowStripe" dxfId="634"/>
    </tableStyle>
    <tableStyle name="MAY 2026-style 131" pivot="0" count="2" xr9:uid="{00000000-0011-0000-FFFF-FFFFBC000000}">
      <tableStyleElement type="firstRowStripe" dxfId="633"/>
      <tableStyleElement type="secondRowStripe" dxfId="632"/>
    </tableStyle>
    <tableStyle name="MAY 2026-style 132" pivot="0" count="2" xr9:uid="{00000000-0011-0000-FFFF-FFFFBD000000}">
      <tableStyleElement type="firstRowStripe" dxfId="631"/>
      <tableStyleElement type="secondRowStripe" dxfId="630"/>
    </tableStyle>
    <tableStyle name="MAY 2026-style 133" pivot="0" count="2" xr9:uid="{00000000-0011-0000-FFFF-FFFFBE000000}">
      <tableStyleElement type="firstRowStripe" dxfId="629"/>
      <tableStyleElement type="secondRowStripe" dxfId="628"/>
    </tableStyle>
    <tableStyle name="MAY 2026-style 134" pivot="0" count="2" xr9:uid="{00000000-0011-0000-FFFF-FFFFBF000000}">
      <tableStyleElement type="firstRowStripe" dxfId="627"/>
      <tableStyleElement type="secondRowStripe" dxfId="626"/>
    </tableStyle>
    <tableStyle name="MAY 2026-style 135" pivot="0" count="2" xr9:uid="{00000000-0011-0000-FFFF-FFFFC0000000}">
      <tableStyleElement type="firstRowStripe" dxfId="625"/>
      <tableStyleElement type="secondRowStripe" dxfId="624"/>
    </tableStyle>
    <tableStyle name="MAY 2026-style 136" pivot="0" count="2" xr9:uid="{00000000-0011-0000-FFFF-FFFFC1000000}">
      <tableStyleElement type="firstRowStripe" dxfId="623"/>
      <tableStyleElement type="secondRowStripe" dxfId="622"/>
    </tableStyle>
    <tableStyle name="MAY 2026-style 137" pivot="0" count="2" xr9:uid="{00000000-0011-0000-FFFF-FFFFC2000000}">
      <tableStyleElement type="firstRowStripe" dxfId="621"/>
      <tableStyleElement type="secondRowStripe" dxfId="620"/>
    </tableStyle>
    <tableStyle name="MAY 2026-style 138" pivot="0" count="2" xr9:uid="{00000000-0011-0000-FFFF-FFFFC3000000}">
      <tableStyleElement type="firstRowStripe" dxfId="619"/>
      <tableStyleElement type="secondRowStripe" dxfId="618"/>
    </tableStyle>
    <tableStyle name="MAY 2026-style 139" pivot="0" count="2" xr9:uid="{00000000-0011-0000-FFFF-FFFFC4000000}">
      <tableStyleElement type="firstRowStripe" dxfId="617"/>
      <tableStyleElement type="secondRowStripe" dxfId="616"/>
    </tableStyle>
    <tableStyle name="MAY 2026-style 140" pivot="0" count="2" xr9:uid="{00000000-0011-0000-FFFF-FFFFC5000000}">
      <tableStyleElement type="firstRowStripe" dxfId="615"/>
      <tableStyleElement type="secondRowStripe" dxfId="614"/>
    </tableStyle>
    <tableStyle name="MAY 2026-style 141" pivot="0" count="2" xr9:uid="{00000000-0011-0000-FFFF-FFFFC6000000}">
      <tableStyleElement type="firstRowStripe" dxfId="613"/>
      <tableStyleElement type="secondRowStripe" dxfId="612"/>
    </tableStyle>
    <tableStyle name="MAY 2026-style 142" pivot="0" count="2" xr9:uid="{00000000-0011-0000-FFFF-FFFFC7000000}">
      <tableStyleElement type="firstRowStripe" dxfId="611"/>
      <tableStyleElement type="secondRowStripe" dxfId="610"/>
    </tableStyle>
    <tableStyle name="MAY 2026-style 143" pivot="0" count="2" xr9:uid="{00000000-0011-0000-FFFF-FFFFC8000000}">
      <tableStyleElement type="firstRowStripe" dxfId="609"/>
      <tableStyleElement type="secondRowStripe" dxfId="608"/>
    </tableStyle>
    <tableStyle name="MAY 2026-style 144" pivot="0" count="2" xr9:uid="{00000000-0011-0000-FFFF-FFFFC9000000}">
      <tableStyleElement type="firstRowStripe" dxfId="607"/>
      <tableStyleElement type="secondRowStripe" dxfId="606"/>
    </tableStyle>
    <tableStyle name="MAY 2026-style 145" pivot="0" count="2" xr9:uid="{00000000-0011-0000-FFFF-FFFFCA000000}">
      <tableStyleElement type="firstRowStripe" dxfId="605"/>
      <tableStyleElement type="secondRowStripe" dxfId="604"/>
    </tableStyle>
    <tableStyle name="MAY 2026-style 146" pivot="0" count="2" xr9:uid="{00000000-0011-0000-FFFF-FFFFCB000000}">
      <tableStyleElement type="firstRowStripe" dxfId="603"/>
      <tableStyleElement type="secondRowStripe" dxfId="602"/>
    </tableStyle>
    <tableStyle name="MAY 2026-style 147" pivot="0" count="2" xr9:uid="{00000000-0011-0000-FFFF-FFFFCC000000}">
      <tableStyleElement type="firstRowStripe" dxfId="601"/>
      <tableStyleElement type="secondRowStripe" dxfId="600"/>
    </tableStyle>
    <tableStyle name="MAY 2026-style 148" pivot="0" count="2" xr9:uid="{00000000-0011-0000-FFFF-FFFFCD000000}">
      <tableStyleElement type="firstRowStripe" dxfId="599"/>
      <tableStyleElement type="secondRowStripe" dxfId="598"/>
    </tableStyle>
    <tableStyle name="MAY 2026-style 149" pivot="0" count="2" xr9:uid="{00000000-0011-0000-FFFF-FFFFCE000000}">
      <tableStyleElement type="firstRowStripe" dxfId="597"/>
      <tableStyleElement type="secondRowStripe" dxfId="596"/>
    </tableStyle>
    <tableStyle name="JUNE 2026-style" pivot="0" count="2" xr9:uid="{00000000-0011-0000-FFFF-FFFFCF000000}">
      <tableStyleElement type="firstRowStripe" dxfId="595"/>
      <tableStyleElement type="secondRowStripe" dxfId="594"/>
    </tableStyle>
    <tableStyle name="JUNE 2026-style 2" pivot="0" count="2" xr9:uid="{00000000-0011-0000-FFFF-FFFFD0000000}">
      <tableStyleElement type="firstRowStripe" dxfId="593"/>
      <tableStyleElement type="secondRowStripe" dxfId="592"/>
    </tableStyle>
    <tableStyle name="JUNE 2026-style 3" pivot="0" count="2" xr9:uid="{00000000-0011-0000-FFFF-FFFFD1000000}">
      <tableStyleElement type="firstRowStripe" dxfId="591"/>
      <tableStyleElement type="secondRowStripe" dxfId="590"/>
    </tableStyle>
    <tableStyle name="JUNE 2026-style 4" pivot="0" count="2" xr9:uid="{00000000-0011-0000-FFFF-FFFFD2000000}">
      <tableStyleElement type="firstRowStripe" dxfId="589"/>
      <tableStyleElement type="secondRowStripe" dxfId="588"/>
    </tableStyle>
    <tableStyle name="JUNE 2026-style 5" pivot="0" count="2" xr9:uid="{00000000-0011-0000-FFFF-FFFFD3000000}">
      <tableStyleElement type="firstRowStripe" dxfId="587"/>
      <tableStyleElement type="secondRowStripe" dxfId="586"/>
    </tableStyle>
    <tableStyle name="JUNE 2026-style 6" pivot="0" count="2" xr9:uid="{00000000-0011-0000-FFFF-FFFFD4000000}">
      <tableStyleElement type="firstRowStripe" dxfId="585"/>
      <tableStyleElement type="secondRowStripe" dxfId="584"/>
    </tableStyle>
    <tableStyle name="JUNE 2026-style 7" pivot="0" count="2" xr9:uid="{00000000-0011-0000-FFFF-FFFFD5000000}">
      <tableStyleElement type="firstRowStripe" dxfId="583"/>
      <tableStyleElement type="secondRowStripe" dxfId="582"/>
    </tableStyle>
    <tableStyle name="JUNE 2026-style 8" pivot="0" count="2" xr9:uid="{00000000-0011-0000-FFFF-FFFFD6000000}">
      <tableStyleElement type="firstRowStripe" dxfId="581"/>
      <tableStyleElement type="secondRowStripe" dxfId="580"/>
    </tableStyle>
    <tableStyle name="JUNE 2026-style 9" pivot="0" count="2" xr9:uid="{00000000-0011-0000-FFFF-FFFFD7000000}">
      <tableStyleElement type="firstRowStripe" dxfId="579"/>
      <tableStyleElement type="secondRowStripe" dxfId="578"/>
    </tableStyle>
    <tableStyle name="JUNE 2026-style 10" pivot="0" count="2" xr9:uid="{00000000-0011-0000-FFFF-FFFFD8000000}">
      <tableStyleElement type="firstRowStripe" dxfId="577"/>
      <tableStyleElement type="secondRowStripe" dxfId="576"/>
    </tableStyle>
    <tableStyle name="JUNE 2026-style 11" pivot="0" count="2" xr9:uid="{00000000-0011-0000-FFFF-FFFFD9000000}">
      <tableStyleElement type="firstRowStripe" dxfId="575"/>
      <tableStyleElement type="secondRowStripe" dxfId="574"/>
    </tableStyle>
    <tableStyle name="JUNE 2026-style 12" pivot="0" count="2" xr9:uid="{00000000-0011-0000-FFFF-FFFFDA000000}">
      <tableStyleElement type="firstRowStripe" dxfId="573"/>
      <tableStyleElement type="secondRowStripe" dxfId="572"/>
    </tableStyle>
    <tableStyle name="JUNE 2026-style 13" pivot="0" count="2" xr9:uid="{00000000-0011-0000-FFFF-FFFFDB000000}">
      <tableStyleElement type="firstRowStripe" dxfId="571"/>
      <tableStyleElement type="secondRowStripe" dxfId="570"/>
    </tableStyle>
    <tableStyle name="JUNE 2026-style 14" pivot="0" count="2" xr9:uid="{00000000-0011-0000-FFFF-FFFFDC000000}">
      <tableStyleElement type="firstRowStripe" dxfId="569"/>
      <tableStyleElement type="secondRowStripe" dxfId="568"/>
    </tableStyle>
    <tableStyle name="JUNE 2026-style 15" pivot="0" count="2" xr9:uid="{00000000-0011-0000-FFFF-FFFFDD000000}">
      <tableStyleElement type="firstRowStripe" dxfId="567"/>
      <tableStyleElement type="secondRowStripe" dxfId="566"/>
    </tableStyle>
    <tableStyle name="JUNE 2026-style 16" pivot="0" count="2" xr9:uid="{00000000-0011-0000-FFFF-FFFFDE000000}">
      <tableStyleElement type="firstRowStripe" dxfId="565"/>
      <tableStyleElement type="secondRowStripe" dxfId="564"/>
    </tableStyle>
    <tableStyle name="JUNE 2026-style 17" pivot="0" count="2" xr9:uid="{00000000-0011-0000-FFFF-FFFFDF000000}">
      <tableStyleElement type="firstRowStripe" dxfId="563"/>
      <tableStyleElement type="secondRowStripe" dxfId="562"/>
    </tableStyle>
    <tableStyle name="JULY 2026-style" pivot="0" count="2" xr9:uid="{00000000-0011-0000-FFFF-FFFFE0000000}">
      <tableStyleElement type="firstRowStripe" dxfId="561"/>
      <tableStyleElement type="secondRowStripe" dxfId="560"/>
    </tableStyle>
    <tableStyle name="JUNE 2026-style 18" pivot="0" count="2" xr9:uid="{00000000-0011-0000-FFFF-FFFFE1000000}">
      <tableStyleElement type="firstRowStripe" dxfId="559"/>
      <tableStyleElement type="secondRowStripe" dxfId="558"/>
    </tableStyle>
    <tableStyle name="JULY 2026-style 2" pivot="0" count="2" xr9:uid="{00000000-0011-0000-FFFF-FFFFE2000000}">
      <tableStyleElement type="firstRowStripe" dxfId="557"/>
      <tableStyleElement type="secondRowStripe" dxfId="556"/>
    </tableStyle>
    <tableStyle name="JUNE 2026-style 19" pivot="0" count="2" xr9:uid="{00000000-0011-0000-FFFF-FFFFE3000000}">
      <tableStyleElement type="firstRowStripe" dxfId="555"/>
      <tableStyleElement type="secondRowStripe" dxfId="554"/>
    </tableStyle>
    <tableStyle name="JULY 2026-style 3" pivot="0" count="2" xr9:uid="{00000000-0011-0000-FFFF-FFFFE4000000}">
      <tableStyleElement type="firstRowStripe" dxfId="553"/>
      <tableStyleElement type="secondRowStripe" dxfId="552"/>
    </tableStyle>
    <tableStyle name="JUNE 2026-style 20" pivot="0" count="2" xr9:uid="{00000000-0011-0000-FFFF-FFFFE5000000}">
      <tableStyleElement type="firstRowStripe" dxfId="551"/>
      <tableStyleElement type="secondRowStripe" dxfId="550"/>
    </tableStyle>
    <tableStyle name="JULY 2026-style 4" pivot="0" count="2" xr9:uid="{00000000-0011-0000-FFFF-FFFFE6000000}">
      <tableStyleElement type="firstRowStripe" dxfId="549"/>
      <tableStyleElement type="secondRowStripe" dxfId="548"/>
    </tableStyle>
    <tableStyle name="JUNE 2026-style 21" pivot="0" count="2" xr9:uid="{00000000-0011-0000-FFFF-FFFFE7000000}">
      <tableStyleElement type="firstRowStripe" dxfId="547"/>
      <tableStyleElement type="secondRowStripe" dxfId="546"/>
    </tableStyle>
    <tableStyle name="JULY 2026-style 5" pivot="0" count="2" xr9:uid="{00000000-0011-0000-FFFF-FFFFE8000000}">
      <tableStyleElement type="firstRowStripe" dxfId="545"/>
      <tableStyleElement type="secondRowStripe" dxfId="544"/>
    </tableStyle>
    <tableStyle name="JUNE 2026-style 22" pivot="0" count="2" xr9:uid="{00000000-0011-0000-FFFF-FFFFE9000000}">
      <tableStyleElement type="firstRowStripe" dxfId="543"/>
      <tableStyleElement type="secondRowStripe" dxfId="542"/>
    </tableStyle>
    <tableStyle name="JULY 2026-style 6" pivot="0" count="2" xr9:uid="{00000000-0011-0000-FFFF-FFFFEA000000}">
      <tableStyleElement type="firstRowStripe" dxfId="541"/>
      <tableStyleElement type="secondRowStripe" dxfId="540"/>
    </tableStyle>
    <tableStyle name="JUNE 2026-style 23" pivot="0" count="2" xr9:uid="{00000000-0011-0000-FFFF-FFFFEB000000}">
      <tableStyleElement type="firstRowStripe" dxfId="539"/>
      <tableStyleElement type="secondRowStripe" dxfId="538"/>
    </tableStyle>
    <tableStyle name="JULY 2026-style 7" pivot="0" count="2" xr9:uid="{00000000-0011-0000-FFFF-FFFFEC000000}">
      <tableStyleElement type="firstRowStripe" dxfId="537"/>
      <tableStyleElement type="secondRowStripe" dxfId="536"/>
    </tableStyle>
    <tableStyle name="JUNE 2026-style 24" pivot="0" count="2" xr9:uid="{00000000-0011-0000-FFFF-FFFFED000000}">
      <tableStyleElement type="firstRowStripe" dxfId="535"/>
      <tableStyleElement type="secondRowStripe" dxfId="534"/>
    </tableStyle>
    <tableStyle name="JULY 2026-style 8" pivot="0" count="2" xr9:uid="{00000000-0011-0000-FFFF-FFFFEE000000}">
      <tableStyleElement type="firstRowStripe" dxfId="533"/>
      <tableStyleElement type="secondRowStripe" dxfId="532"/>
    </tableStyle>
    <tableStyle name="JUNE 2026-style 25" pivot="0" count="2" xr9:uid="{00000000-0011-0000-FFFF-FFFFEF000000}">
      <tableStyleElement type="firstRowStripe" dxfId="531"/>
      <tableStyleElement type="secondRowStripe" dxfId="530"/>
    </tableStyle>
    <tableStyle name="JULY 2026-style 9" pivot="0" count="2" xr9:uid="{00000000-0011-0000-FFFF-FFFFF0000000}">
      <tableStyleElement type="firstRowStripe" dxfId="529"/>
      <tableStyleElement type="secondRowStripe" dxfId="528"/>
    </tableStyle>
    <tableStyle name="JUNE 2026-style 26" pivot="0" count="2" xr9:uid="{00000000-0011-0000-FFFF-FFFFF1000000}">
      <tableStyleElement type="firstRowStripe" dxfId="527"/>
      <tableStyleElement type="secondRowStripe" dxfId="526"/>
    </tableStyle>
    <tableStyle name="JULY 2026-style 10" pivot="0" count="2" xr9:uid="{00000000-0011-0000-FFFF-FFFFF2000000}">
      <tableStyleElement type="firstRowStripe" dxfId="525"/>
      <tableStyleElement type="secondRowStripe" dxfId="524"/>
    </tableStyle>
    <tableStyle name="JUNE 2026-style 27" pivot="0" count="2" xr9:uid="{00000000-0011-0000-FFFF-FFFFF3000000}">
      <tableStyleElement type="firstRowStripe" dxfId="523"/>
      <tableStyleElement type="secondRowStripe" dxfId="522"/>
    </tableStyle>
    <tableStyle name="JULY 2026-style 11" pivot="0" count="2" xr9:uid="{00000000-0011-0000-FFFF-FFFFF4000000}">
      <tableStyleElement type="firstRowStripe" dxfId="521"/>
      <tableStyleElement type="secondRowStripe" dxfId="520"/>
    </tableStyle>
    <tableStyle name="JUNE 2026-style 28" pivot="0" count="2" xr9:uid="{00000000-0011-0000-FFFF-FFFFF5000000}">
      <tableStyleElement type="firstRowStripe" dxfId="519"/>
      <tableStyleElement type="secondRowStripe" dxfId="518"/>
    </tableStyle>
    <tableStyle name="JULY 2026-style 12" pivot="0" count="2" xr9:uid="{00000000-0011-0000-FFFF-FFFFF6000000}">
      <tableStyleElement type="firstRowStripe" dxfId="517"/>
      <tableStyleElement type="secondRowStripe" dxfId="516"/>
    </tableStyle>
    <tableStyle name="JUNE 2026-style 29" pivot="0" count="2" xr9:uid="{00000000-0011-0000-FFFF-FFFFF7000000}">
      <tableStyleElement type="firstRowStripe" dxfId="515"/>
      <tableStyleElement type="secondRowStripe" dxfId="514"/>
    </tableStyle>
    <tableStyle name="JULY 2026-style 13" pivot="0" count="2" xr9:uid="{00000000-0011-0000-FFFF-FFFFF8000000}">
      <tableStyleElement type="firstRowStripe" dxfId="513"/>
      <tableStyleElement type="secondRowStripe" dxfId="512"/>
    </tableStyle>
    <tableStyle name="JUNE 2026-style 30" pivot="0" count="2" xr9:uid="{00000000-0011-0000-FFFF-FFFFF9000000}">
      <tableStyleElement type="firstRowStripe" dxfId="511"/>
      <tableStyleElement type="secondRowStripe" dxfId="510"/>
    </tableStyle>
    <tableStyle name="JULY 2026-style 14" pivot="0" count="2" xr9:uid="{00000000-0011-0000-FFFF-FFFFFA000000}">
      <tableStyleElement type="firstRowStripe" dxfId="509"/>
      <tableStyleElement type="secondRowStripe" dxfId="508"/>
    </tableStyle>
    <tableStyle name="JUNE 2026-style 31" pivot="0" count="2" xr9:uid="{00000000-0011-0000-FFFF-FFFFFB000000}">
      <tableStyleElement type="firstRowStripe" dxfId="507"/>
      <tableStyleElement type="secondRowStripe" dxfId="506"/>
    </tableStyle>
    <tableStyle name="JULY 2026-style 15" pivot="0" count="2" xr9:uid="{00000000-0011-0000-FFFF-FFFFFC000000}">
      <tableStyleElement type="firstRowStripe" dxfId="505"/>
      <tableStyleElement type="secondRowStripe" dxfId="504"/>
    </tableStyle>
    <tableStyle name="JUNE 2026-style 32" pivot="0" count="2" xr9:uid="{00000000-0011-0000-FFFF-FFFFFD000000}">
      <tableStyleElement type="firstRowStripe" dxfId="503"/>
      <tableStyleElement type="secondRowStripe" dxfId="502"/>
    </tableStyle>
    <tableStyle name="JULY 2026-style 16" pivot="0" count="2" xr9:uid="{00000000-0011-0000-FFFF-FFFFFE000000}">
      <tableStyleElement type="firstRowStripe" dxfId="501"/>
      <tableStyleElement type="secondRowStripe" dxfId="500"/>
    </tableStyle>
    <tableStyle name="JUNE 2026-style 33" pivot="0" count="2" xr9:uid="{00000000-0011-0000-FFFF-FFFFFF000000}">
      <tableStyleElement type="firstRowStripe" dxfId="499"/>
      <tableStyleElement type="secondRowStripe" dxfId="498"/>
    </tableStyle>
    <tableStyle name="JULY 2026-style 17" pivot="0" count="2" xr9:uid="{00000000-0011-0000-FFFF-FFFF00010000}">
      <tableStyleElement type="firstRowStripe" dxfId="497"/>
      <tableStyleElement type="secondRowStripe" dxfId="496"/>
    </tableStyle>
    <tableStyle name="JUNE 2026-style 34" pivot="0" count="2" xr9:uid="{00000000-0011-0000-FFFF-FFFF01010000}">
      <tableStyleElement type="firstRowStripe" dxfId="495"/>
      <tableStyleElement type="secondRowStripe" dxfId="494"/>
    </tableStyle>
    <tableStyle name="JULY 2026-style 18" pivot="0" count="2" xr9:uid="{00000000-0011-0000-FFFF-FFFF02010000}">
      <tableStyleElement type="firstRowStripe" dxfId="493"/>
      <tableStyleElement type="secondRowStripe" dxfId="492"/>
    </tableStyle>
    <tableStyle name="JUNE 2026-style 35" pivot="0" count="2" xr9:uid="{00000000-0011-0000-FFFF-FFFF03010000}">
      <tableStyleElement type="firstRowStripe" dxfId="491"/>
      <tableStyleElement type="secondRowStripe" dxfId="490"/>
    </tableStyle>
    <tableStyle name="JULY 2026-style 19" pivot="0" count="2" xr9:uid="{00000000-0011-0000-FFFF-FFFF04010000}">
      <tableStyleElement type="firstRowStripe" dxfId="489"/>
      <tableStyleElement type="secondRowStripe" dxfId="488"/>
    </tableStyle>
    <tableStyle name="JUNE 2026-style 36" pivot="0" count="2" xr9:uid="{00000000-0011-0000-FFFF-FFFF05010000}">
      <tableStyleElement type="firstRowStripe" dxfId="487"/>
      <tableStyleElement type="secondRowStripe" dxfId="486"/>
    </tableStyle>
    <tableStyle name="JULY 2026-style 20" pivot="0" count="2" xr9:uid="{00000000-0011-0000-FFFF-FFFF06010000}">
      <tableStyleElement type="firstRowStripe" dxfId="485"/>
      <tableStyleElement type="secondRowStripe" dxfId="484"/>
    </tableStyle>
    <tableStyle name="JUNE 2026-style 37" pivot="0" count="2" xr9:uid="{00000000-0011-0000-FFFF-FFFF07010000}">
      <tableStyleElement type="firstRowStripe" dxfId="483"/>
      <tableStyleElement type="secondRowStripe" dxfId="482"/>
    </tableStyle>
    <tableStyle name="JULY 2026-style 21" pivot="0" count="2" xr9:uid="{00000000-0011-0000-FFFF-FFFF08010000}">
      <tableStyleElement type="firstRowStripe" dxfId="481"/>
      <tableStyleElement type="secondRowStripe" dxfId="480"/>
    </tableStyle>
    <tableStyle name="JUNE 2026-style 38" pivot="0" count="2" xr9:uid="{00000000-0011-0000-FFFF-FFFF09010000}">
      <tableStyleElement type="firstRowStripe" dxfId="479"/>
      <tableStyleElement type="secondRowStripe" dxfId="478"/>
    </tableStyle>
    <tableStyle name="JULY 2026-style 22" pivot="0" count="2" xr9:uid="{00000000-0011-0000-FFFF-FFFF0A010000}">
      <tableStyleElement type="firstRowStripe" dxfId="477"/>
      <tableStyleElement type="secondRowStripe" dxfId="476"/>
    </tableStyle>
    <tableStyle name="JULY 2026-style 23" pivot="0" count="2" xr9:uid="{00000000-0011-0000-FFFF-FFFF0B010000}">
      <tableStyleElement type="firstRowStripe" dxfId="475"/>
      <tableStyleElement type="secondRowStripe" dxfId="474"/>
    </tableStyle>
    <tableStyle name="JUNE 2026-style 39" pivot="0" count="2" xr9:uid="{00000000-0011-0000-FFFF-FFFF0C010000}">
      <tableStyleElement type="firstRowStripe" dxfId="473"/>
      <tableStyleElement type="secondRowStripe" dxfId="472"/>
    </tableStyle>
    <tableStyle name="JULY 2026-style 24" pivot="0" count="2" xr9:uid="{00000000-0011-0000-FFFF-FFFF0D010000}">
      <tableStyleElement type="firstRowStripe" dxfId="471"/>
      <tableStyleElement type="secondRowStripe" dxfId="470"/>
    </tableStyle>
    <tableStyle name="JUNE 2026-style 40" pivot="0" count="2" xr9:uid="{00000000-0011-0000-FFFF-FFFF0E010000}">
      <tableStyleElement type="firstRowStripe" dxfId="469"/>
      <tableStyleElement type="secondRowStripe" dxfId="468"/>
    </tableStyle>
    <tableStyle name="JULY 2026-style 25" pivot="0" count="2" xr9:uid="{00000000-0011-0000-FFFF-FFFF0F010000}">
      <tableStyleElement type="firstRowStripe" dxfId="467"/>
      <tableStyleElement type="secondRowStripe" dxfId="466"/>
    </tableStyle>
    <tableStyle name="JUNE 2026-style 41" pivot="0" count="2" xr9:uid="{00000000-0011-0000-FFFF-FFFF10010000}">
      <tableStyleElement type="firstRowStripe" dxfId="465"/>
      <tableStyleElement type="secondRowStripe" dxfId="464"/>
    </tableStyle>
    <tableStyle name="JULY 2026-style 26" pivot="0" count="2" xr9:uid="{00000000-0011-0000-FFFF-FFFF11010000}">
      <tableStyleElement type="firstRowStripe" dxfId="463"/>
      <tableStyleElement type="secondRowStripe" dxfId="462"/>
    </tableStyle>
    <tableStyle name="JUNE 2026-style 42" pivot="0" count="2" xr9:uid="{00000000-0011-0000-FFFF-FFFF12010000}">
      <tableStyleElement type="firstRowStripe" dxfId="461"/>
      <tableStyleElement type="secondRowStripe" dxfId="460"/>
    </tableStyle>
    <tableStyle name="JULY 2026-style 27" pivot="0" count="2" xr9:uid="{00000000-0011-0000-FFFF-FFFF13010000}">
      <tableStyleElement type="firstRowStripe" dxfId="459"/>
      <tableStyleElement type="secondRowStripe" dxfId="458"/>
    </tableStyle>
    <tableStyle name="JULY 2026-style 28" pivot="0" count="2" xr9:uid="{00000000-0011-0000-FFFF-FFFF14010000}">
      <tableStyleElement type="firstRowStripe" dxfId="457"/>
      <tableStyleElement type="secondRowStripe" dxfId="456"/>
    </tableStyle>
    <tableStyle name="JULY 2026-style 29" pivot="0" count="2" xr9:uid="{00000000-0011-0000-FFFF-FFFF15010000}">
      <tableStyleElement type="firstRowStripe" dxfId="455"/>
      <tableStyleElement type="secondRowStripe" dxfId="454"/>
    </tableStyle>
    <tableStyle name="JULY 2026-style 30" pivot="0" count="2" xr9:uid="{00000000-0011-0000-FFFF-FFFF16010000}">
      <tableStyleElement type="firstRowStripe" dxfId="453"/>
      <tableStyleElement type="secondRowStripe" dxfId="452"/>
    </tableStyle>
    <tableStyle name="JULY 2026-style 31" pivot="0" count="2" xr9:uid="{00000000-0011-0000-FFFF-FFFF17010000}">
      <tableStyleElement type="firstRowStripe" dxfId="451"/>
      <tableStyleElement type="secondRowStripe" dxfId="450"/>
    </tableStyle>
    <tableStyle name="JULY 2026-style 32" pivot="0" count="2" xr9:uid="{00000000-0011-0000-FFFF-FFFF18010000}">
      <tableStyleElement type="firstRowStripe" dxfId="449"/>
      <tableStyleElement type="secondRowStripe" dxfId="448"/>
    </tableStyle>
    <tableStyle name="JULY 2026-style 33" pivot="0" count="2" xr9:uid="{00000000-0011-0000-FFFF-FFFF19010000}">
      <tableStyleElement type="firstRowStripe" dxfId="447"/>
      <tableStyleElement type="secondRowStripe" dxfId="446"/>
    </tableStyle>
    <tableStyle name="JULY 2026-style 34" pivot="0" count="2" xr9:uid="{00000000-0011-0000-FFFF-FFFF1A010000}">
      <tableStyleElement type="firstRowStripe" dxfId="445"/>
      <tableStyleElement type="secondRowStripe" dxfId="444"/>
    </tableStyle>
    <tableStyle name="JULY 2026-style 35" pivot="0" count="2" xr9:uid="{00000000-0011-0000-FFFF-FFFF1B010000}">
      <tableStyleElement type="firstRowStripe" dxfId="443"/>
      <tableStyleElement type="secondRowStripe" dxfId="442"/>
    </tableStyle>
    <tableStyle name="JULY 2026-style 36" pivot="0" count="2" xr9:uid="{00000000-0011-0000-FFFF-FFFF1C010000}">
      <tableStyleElement type="firstRowStripe" dxfId="441"/>
      <tableStyleElement type="secondRowStripe" dxfId="440"/>
    </tableStyle>
    <tableStyle name="JULY 2026-style 37" pivot="0" count="2" xr9:uid="{00000000-0011-0000-FFFF-FFFF1D010000}">
      <tableStyleElement type="firstRowStripe" dxfId="439"/>
      <tableStyleElement type="secondRowStripe" dxfId="438"/>
    </tableStyle>
    <tableStyle name="JULY 2026-style 38" pivot="0" count="2" xr9:uid="{00000000-0011-0000-FFFF-FFFF1E010000}">
      <tableStyleElement type="firstRowStripe" dxfId="437"/>
      <tableStyleElement type="secondRowStripe" dxfId="436"/>
    </tableStyle>
    <tableStyle name="JULY 2026-style 39" pivot="0" count="2" xr9:uid="{00000000-0011-0000-FFFF-FFFF1F010000}">
      <tableStyleElement type="firstRowStripe" dxfId="435"/>
      <tableStyleElement type="secondRowStripe" dxfId="434"/>
    </tableStyle>
    <tableStyle name="JULY 2026-style 40" pivot="0" count="2" xr9:uid="{00000000-0011-0000-FFFF-FFFF20010000}">
      <tableStyleElement type="firstRowStripe" dxfId="433"/>
      <tableStyleElement type="secondRowStripe" dxfId="432"/>
    </tableStyle>
    <tableStyle name="JULY 2026-style 41" pivot="0" count="2" xr9:uid="{00000000-0011-0000-FFFF-FFFF21010000}">
      <tableStyleElement type="firstRowStripe" dxfId="431"/>
      <tableStyleElement type="secondRowStripe" dxfId="430"/>
    </tableStyle>
    <tableStyle name="JULY 2026-style 42" pivot="0" count="2" xr9:uid="{00000000-0011-0000-FFFF-FFFF22010000}">
      <tableStyleElement type="firstRowStripe" dxfId="429"/>
      <tableStyleElement type="secondRowStripe" dxfId="428"/>
    </tableStyle>
    <tableStyle name="JULY 2026-style 43" pivot="0" count="2" xr9:uid="{00000000-0011-0000-FFFF-FFFF23010000}">
      <tableStyleElement type="firstRowStripe" dxfId="427"/>
      <tableStyleElement type="secondRowStripe" dxfId="426"/>
    </tableStyle>
    <tableStyle name="JULY 2026-style 44" pivot="0" count="2" xr9:uid="{00000000-0011-0000-FFFF-FFFF24010000}">
      <tableStyleElement type="firstRowStripe" dxfId="425"/>
      <tableStyleElement type="secondRowStripe" dxfId="424"/>
    </tableStyle>
    <tableStyle name="JULY 2026-style 45" pivot="0" count="2" xr9:uid="{00000000-0011-0000-FFFF-FFFF25010000}">
      <tableStyleElement type="firstRowStripe" dxfId="423"/>
      <tableStyleElement type="secondRowStripe" dxfId="422"/>
    </tableStyle>
    <tableStyle name="AUGUST 2026-style" pivot="0" count="2" xr9:uid="{00000000-0011-0000-FFFF-FFFF26010000}">
      <tableStyleElement type="firstRowStripe" dxfId="421"/>
      <tableStyleElement type="secondRowStripe" dxfId="420"/>
    </tableStyle>
    <tableStyle name="AUGUST 2026-style 2" pivot="0" count="2" xr9:uid="{00000000-0011-0000-FFFF-FFFF27010000}">
      <tableStyleElement type="firstRowStripe" dxfId="419"/>
      <tableStyleElement type="secondRowStripe" dxfId="418"/>
    </tableStyle>
    <tableStyle name="AUGUST 2026-style 3" pivot="0" count="2" xr9:uid="{00000000-0011-0000-FFFF-FFFF28010000}">
      <tableStyleElement type="firstRowStripe" dxfId="417"/>
      <tableStyleElement type="secondRowStripe" dxfId="416"/>
    </tableStyle>
    <tableStyle name="AUGUST 2026-style 4" pivot="0" count="2" xr9:uid="{00000000-0011-0000-FFFF-FFFF29010000}">
      <tableStyleElement type="firstRowStripe" dxfId="415"/>
      <tableStyleElement type="secondRowStripe" dxfId="414"/>
    </tableStyle>
    <tableStyle name="AUGUST 2026-style 5" pivot="0" count="2" xr9:uid="{00000000-0011-0000-FFFF-FFFF2A010000}">
      <tableStyleElement type="firstRowStripe" dxfId="413"/>
      <tableStyleElement type="secondRowStripe" dxfId="412"/>
    </tableStyle>
    <tableStyle name="AUGUST 2026-style 6" pivot="0" count="2" xr9:uid="{00000000-0011-0000-FFFF-FFFF2B010000}">
      <tableStyleElement type="firstRowStripe" dxfId="411"/>
      <tableStyleElement type="secondRowStripe" dxfId="410"/>
    </tableStyle>
    <tableStyle name="AUGUST 2026-style 7" pivot="0" count="2" xr9:uid="{00000000-0011-0000-FFFF-FFFF2C010000}">
      <tableStyleElement type="firstRowStripe" dxfId="409"/>
      <tableStyleElement type="secondRowStripe" dxfId="408"/>
    </tableStyle>
    <tableStyle name="AUGUST 2026-style 8" pivot="0" count="2" xr9:uid="{00000000-0011-0000-FFFF-FFFF2D010000}">
      <tableStyleElement type="firstRowStripe" dxfId="407"/>
      <tableStyleElement type="secondRowStripe" dxfId="406"/>
    </tableStyle>
    <tableStyle name="AUGUST 2026-style 9" pivot="0" count="2" xr9:uid="{00000000-0011-0000-FFFF-FFFF2E010000}">
      <tableStyleElement type="firstRowStripe" dxfId="405"/>
      <tableStyleElement type="secondRowStripe" dxfId="404"/>
    </tableStyle>
    <tableStyle name="AUGUST 2026-style 10" pivot="0" count="2" xr9:uid="{00000000-0011-0000-FFFF-FFFF2F010000}">
      <tableStyleElement type="firstRowStripe" dxfId="403"/>
      <tableStyleElement type="secondRowStripe" dxfId="402"/>
    </tableStyle>
    <tableStyle name="AUGUST 2026-style 11" pivot="0" count="2" xr9:uid="{00000000-0011-0000-FFFF-FFFF30010000}">
      <tableStyleElement type="firstRowStripe" dxfId="401"/>
      <tableStyleElement type="secondRowStripe" dxfId="400"/>
    </tableStyle>
    <tableStyle name="AUGUST 2026-style 12" pivot="0" count="2" xr9:uid="{00000000-0011-0000-FFFF-FFFF31010000}">
      <tableStyleElement type="firstRowStripe" dxfId="399"/>
      <tableStyleElement type="secondRowStripe" dxfId="398"/>
    </tableStyle>
    <tableStyle name="AUGUST 2026-style 13" pivot="0" count="2" xr9:uid="{00000000-0011-0000-FFFF-FFFF32010000}">
      <tableStyleElement type="firstRowStripe" dxfId="397"/>
      <tableStyleElement type="secondRowStripe" dxfId="396"/>
    </tableStyle>
    <tableStyle name="AUGUST 2026-style 14" pivot="0" count="2" xr9:uid="{00000000-0011-0000-FFFF-FFFF33010000}">
      <tableStyleElement type="firstRowStripe" dxfId="395"/>
      <tableStyleElement type="secondRowStripe" dxfId="394"/>
    </tableStyle>
    <tableStyle name="AUGUST 2026-style 15" pivot="0" count="2" xr9:uid="{00000000-0011-0000-FFFF-FFFF34010000}">
      <tableStyleElement type="firstRowStripe" dxfId="393"/>
      <tableStyleElement type="secondRowStripe" dxfId="392"/>
    </tableStyle>
    <tableStyle name="AUGUST 2026-style 16" pivot="0" count="2" xr9:uid="{00000000-0011-0000-FFFF-FFFF35010000}">
      <tableStyleElement type="firstRowStripe" dxfId="391"/>
      <tableStyleElement type="secondRowStripe" dxfId="390"/>
    </tableStyle>
    <tableStyle name="AUGUST 2026-style 17" pivot="0" count="2" xr9:uid="{00000000-0011-0000-FFFF-FFFF36010000}">
      <tableStyleElement type="firstRowStripe" dxfId="389"/>
      <tableStyleElement type="secondRowStripe" dxfId="388"/>
    </tableStyle>
    <tableStyle name="AUGUST 2026-style 18" pivot="0" count="2" xr9:uid="{00000000-0011-0000-FFFF-FFFF37010000}">
      <tableStyleElement type="firstRowStripe" dxfId="387"/>
      <tableStyleElement type="secondRowStripe" dxfId="386"/>
    </tableStyle>
    <tableStyle name="AUGUST 2026-style 19" pivot="0" count="2" xr9:uid="{00000000-0011-0000-FFFF-FFFF38010000}">
      <tableStyleElement type="firstRowStripe" dxfId="385"/>
      <tableStyleElement type="secondRowStripe" dxfId="384"/>
    </tableStyle>
    <tableStyle name="AUGUST 2026-style 20" pivot="0" count="2" xr9:uid="{00000000-0011-0000-FFFF-FFFF39010000}">
      <tableStyleElement type="firstRowStripe" dxfId="383"/>
      <tableStyleElement type="secondRowStripe" dxfId="382"/>
    </tableStyle>
    <tableStyle name="AUGUST 2026-style 21" pivot="0" count="2" xr9:uid="{00000000-0011-0000-FFFF-FFFF3A010000}">
      <tableStyleElement type="firstRowStripe" dxfId="381"/>
      <tableStyleElement type="secondRowStripe" dxfId="380"/>
    </tableStyle>
    <tableStyle name="AUGUST 2026-style 22" pivot="0" count="2" xr9:uid="{00000000-0011-0000-FFFF-FFFF3B010000}">
      <tableStyleElement type="firstRowStripe" dxfId="379"/>
      <tableStyleElement type="secondRowStripe" dxfId="378"/>
    </tableStyle>
    <tableStyle name="AUGUST 2026-style 23" pivot="0" count="2" xr9:uid="{00000000-0011-0000-FFFF-FFFF3C010000}">
      <tableStyleElement type="firstRowStripe" dxfId="377"/>
      <tableStyleElement type="secondRowStripe" dxfId="376"/>
    </tableStyle>
    <tableStyle name="AUGUST 2026-style 24" pivot="0" count="2" xr9:uid="{00000000-0011-0000-FFFF-FFFF3D010000}">
      <tableStyleElement type="firstRowStripe" dxfId="375"/>
      <tableStyleElement type="secondRowStripe" dxfId="374"/>
    </tableStyle>
    <tableStyle name="AUGUST 2026-style 25" pivot="0" count="2" xr9:uid="{00000000-0011-0000-FFFF-FFFF3E010000}">
      <tableStyleElement type="firstRowStripe" dxfId="373"/>
      <tableStyleElement type="secondRowStripe" dxfId="372"/>
    </tableStyle>
    <tableStyle name="AUGUST 2026-style 26" pivot="0" count="2" xr9:uid="{00000000-0011-0000-FFFF-FFFF3F010000}">
      <tableStyleElement type="firstRowStripe" dxfId="371"/>
      <tableStyleElement type="secondRowStripe" dxfId="370"/>
    </tableStyle>
    <tableStyle name="AUGUST 2026-style 27" pivot="0" count="2" xr9:uid="{00000000-0011-0000-FFFF-FFFF40010000}">
      <tableStyleElement type="firstRowStripe" dxfId="369"/>
      <tableStyleElement type="secondRowStripe" dxfId="368"/>
    </tableStyle>
    <tableStyle name="AUGUST 2026-style 28" pivot="0" count="2" xr9:uid="{00000000-0011-0000-FFFF-FFFF41010000}">
      <tableStyleElement type="firstRowStripe" dxfId="367"/>
      <tableStyleElement type="secondRowStripe" dxfId="366"/>
    </tableStyle>
    <tableStyle name="AUGUST 2026-style 29" pivot="0" count="2" xr9:uid="{00000000-0011-0000-FFFF-FFFF42010000}">
      <tableStyleElement type="firstRowStripe" dxfId="365"/>
      <tableStyleElement type="secondRowStripe" dxfId="364"/>
    </tableStyle>
    <tableStyle name="AUGUST 2026-style 30" pivot="0" count="2" xr9:uid="{00000000-0011-0000-FFFF-FFFF43010000}">
      <tableStyleElement type="firstRowStripe" dxfId="363"/>
      <tableStyleElement type="secondRowStripe" dxfId="362"/>
    </tableStyle>
    <tableStyle name="AUGUST 2026-style 31" pivot="0" count="2" xr9:uid="{00000000-0011-0000-FFFF-FFFF44010000}">
      <tableStyleElement type="firstRowStripe" dxfId="361"/>
      <tableStyleElement type="secondRowStripe" dxfId="360"/>
    </tableStyle>
    <tableStyle name="AUGUST 2026-style 32" pivot="0" count="2" xr9:uid="{00000000-0011-0000-FFFF-FFFF45010000}">
      <tableStyleElement type="firstRowStripe" dxfId="359"/>
      <tableStyleElement type="secondRowStripe" dxfId="358"/>
    </tableStyle>
    <tableStyle name="AUGUST 2026-style 33" pivot="0" count="2" xr9:uid="{00000000-0011-0000-FFFF-FFFF46010000}">
      <tableStyleElement type="firstRowStripe" dxfId="357"/>
      <tableStyleElement type="secondRowStripe" dxfId="356"/>
    </tableStyle>
    <tableStyle name="AUGUST 2026-style 34" pivot="0" count="2" xr9:uid="{00000000-0011-0000-FFFF-FFFF47010000}">
      <tableStyleElement type="firstRowStripe" dxfId="355"/>
      <tableStyleElement type="secondRowStripe" dxfId="354"/>
    </tableStyle>
    <tableStyle name="AUGUST 2026-style 35" pivot="0" count="2" xr9:uid="{00000000-0011-0000-FFFF-FFFF48010000}">
      <tableStyleElement type="firstRowStripe" dxfId="353"/>
      <tableStyleElement type="secondRowStripe" dxfId="352"/>
    </tableStyle>
    <tableStyle name="AUGUST 2026-style 36" pivot="0" count="2" xr9:uid="{00000000-0011-0000-FFFF-FFFF49010000}">
      <tableStyleElement type="firstRowStripe" dxfId="351"/>
      <tableStyleElement type="secondRowStripe" dxfId="350"/>
    </tableStyle>
    <tableStyle name="AUGUST 2026-style 37" pivot="0" count="2" xr9:uid="{00000000-0011-0000-FFFF-FFFF4A010000}">
      <tableStyleElement type="firstRowStripe" dxfId="349"/>
      <tableStyleElement type="secondRowStripe" dxfId="348"/>
    </tableStyle>
    <tableStyle name="AUGUST 2026-style 38" pivot="0" count="2" xr9:uid="{00000000-0011-0000-FFFF-FFFF4B010000}">
      <tableStyleElement type="firstRowStripe" dxfId="347"/>
      <tableStyleElement type="secondRowStripe" dxfId="346"/>
    </tableStyle>
    <tableStyle name="AUGUST 2026-style 39" pivot="0" count="2" xr9:uid="{00000000-0011-0000-FFFF-FFFF4C010000}">
      <tableStyleElement type="firstRowStripe" dxfId="345"/>
      <tableStyleElement type="secondRowStripe" dxfId="344"/>
    </tableStyle>
    <tableStyle name="AUGUST 2026-style 40" pivot="0" count="2" xr9:uid="{00000000-0011-0000-FFFF-FFFF4D010000}">
      <tableStyleElement type="firstRowStripe" dxfId="343"/>
      <tableStyleElement type="secondRowStripe" dxfId="342"/>
    </tableStyle>
    <tableStyle name="AUGUST 2026-style 41" pivot="0" count="2" xr9:uid="{00000000-0011-0000-FFFF-FFFF4E010000}">
      <tableStyleElement type="firstRowStripe" dxfId="341"/>
      <tableStyleElement type="secondRowStripe" dxfId="340"/>
    </tableStyle>
    <tableStyle name="AUGUST 2026-style 42" pivot="0" count="2" xr9:uid="{00000000-0011-0000-FFFF-FFFF4F010000}">
      <tableStyleElement type="firstRowStripe" dxfId="339"/>
      <tableStyleElement type="secondRowStripe" dxfId="338"/>
    </tableStyle>
    <tableStyle name="AUGUST 2026-style 43" pivot="0" count="2" xr9:uid="{00000000-0011-0000-FFFF-FFFF50010000}">
      <tableStyleElement type="firstRowStripe" dxfId="337"/>
      <tableStyleElement type="secondRowStripe" dxfId="336"/>
    </tableStyle>
    <tableStyle name="AUGUST 2026-style 44" pivot="0" count="2" xr9:uid="{00000000-0011-0000-FFFF-FFFF51010000}">
      <tableStyleElement type="firstRowStripe" dxfId="335"/>
      <tableStyleElement type="secondRowStripe" dxfId="334"/>
    </tableStyle>
    <tableStyle name="AUGUST 2026-style 45" pivot="0" count="2" xr9:uid="{00000000-0011-0000-FFFF-FFFF52010000}">
      <tableStyleElement type="firstRowStripe" dxfId="333"/>
      <tableStyleElement type="secondRowStripe" dxfId="332"/>
    </tableStyle>
    <tableStyle name="AUGUST 2026-style 46" pivot="0" count="2" xr9:uid="{00000000-0011-0000-FFFF-FFFF53010000}">
      <tableStyleElement type="firstRowStripe" dxfId="331"/>
      <tableStyleElement type="secondRowStripe" dxfId="330"/>
    </tableStyle>
    <tableStyle name="AUGUST 2026-style 47" pivot="0" count="2" xr9:uid="{00000000-0011-0000-FFFF-FFFF54010000}">
      <tableStyleElement type="firstRowStripe" dxfId="329"/>
      <tableStyleElement type="secondRowStripe" dxfId="328"/>
    </tableStyle>
    <tableStyle name="SEPTEMBER 2026-style" pivot="0" count="2" xr9:uid="{00000000-0011-0000-FFFF-FFFF55010000}">
      <tableStyleElement type="firstRowStripe" dxfId="327"/>
      <tableStyleElement type="secondRowStripe" dxfId="326"/>
    </tableStyle>
    <tableStyle name="SEPTEMBER 2026-style 2" pivot="0" count="2" xr9:uid="{00000000-0011-0000-FFFF-FFFF56010000}">
      <tableStyleElement type="firstRowStripe" dxfId="325"/>
      <tableStyleElement type="secondRowStripe" dxfId="324"/>
    </tableStyle>
    <tableStyle name="SEPTEMBER 2026-style 3" pivot="0" count="2" xr9:uid="{00000000-0011-0000-FFFF-FFFF57010000}">
      <tableStyleElement type="firstRowStripe" dxfId="323"/>
      <tableStyleElement type="secondRowStripe" dxfId="322"/>
    </tableStyle>
    <tableStyle name="SEPTEMBER 2026-style 4" pivot="0" count="2" xr9:uid="{00000000-0011-0000-FFFF-FFFF58010000}">
      <tableStyleElement type="firstRowStripe" dxfId="321"/>
      <tableStyleElement type="secondRowStripe" dxfId="320"/>
    </tableStyle>
    <tableStyle name="SEPTEMBER 2026-style 5" pivot="0" count="2" xr9:uid="{00000000-0011-0000-FFFF-FFFF59010000}">
      <tableStyleElement type="firstRowStripe" dxfId="319"/>
      <tableStyleElement type="secondRowStripe" dxfId="318"/>
    </tableStyle>
    <tableStyle name="SEPTEMBER 2026-style 6" pivot="0" count="2" xr9:uid="{00000000-0011-0000-FFFF-FFFF5A010000}">
      <tableStyleElement type="firstRowStripe" dxfId="317"/>
      <tableStyleElement type="secondRowStripe" dxfId="316"/>
    </tableStyle>
    <tableStyle name="SEPTEMBER 2026-style 7" pivot="0" count="2" xr9:uid="{00000000-0011-0000-FFFF-FFFF5B010000}">
      <tableStyleElement type="firstRowStripe" dxfId="315"/>
      <tableStyleElement type="secondRowStripe" dxfId="314"/>
    </tableStyle>
    <tableStyle name="SEPTEMBER 2026-style 8" pivot="0" count="2" xr9:uid="{00000000-0011-0000-FFFF-FFFF5C010000}">
      <tableStyleElement type="firstRowStripe" dxfId="313"/>
      <tableStyleElement type="secondRowStripe" dxfId="312"/>
    </tableStyle>
    <tableStyle name="SEPTEMBER 2026-style 9" pivot="0" count="2" xr9:uid="{00000000-0011-0000-FFFF-FFFF5D010000}">
      <tableStyleElement type="firstRowStripe" dxfId="311"/>
      <tableStyleElement type="secondRowStripe" dxfId="310"/>
    </tableStyle>
    <tableStyle name="SEPTEMBER 2026-style 10" pivot="0" count="2" xr9:uid="{00000000-0011-0000-FFFF-FFFF5E010000}">
      <tableStyleElement type="firstRowStripe" dxfId="309"/>
      <tableStyleElement type="secondRowStripe" dxfId="308"/>
    </tableStyle>
    <tableStyle name="SEPTEMBER 2026-style 11" pivot="0" count="2" xr9:uid="{00000000-0011-0000-FFFF-FFFF5F010000}">
      <tableStyleElement type="firstRowStripe" dxfId="307"/>
      <tableStyleElement type="secondRowStripe" dxfId="306"/>
    </tableStyle>
    <tableStyle name="SEPTEMBER 2026-style 12" pivot="0" count="2" xr9:uid="{00000000-0011-0000-FFFF-FFFF60010000}">
      <tableStyleElement type="firstRowStripe" dxfId="305"/>
      <tableStyleElement type="secondRowStripe" dxfId="304"/>
    </tableStyle>
    <tableStyle name="SEPTEMBER 2026-style 13" pivot="0" count="2" xr9:uid="{00000000-0011-0000-FFFF-FFFF61010000}">
      <tableStyleElement type="firstRowStripe" dxfId="303"/>
      <tableStyleElement type="secondRowStripe" dxfId="302"/>
    </tableStyle>
    <tableStyle name="SEPTEMBER 2026-style 14" pivot="0" count="2" xr9:uid="{00000000-0011-0000-FFFF-FFFF62010000}">
      <tableStyleElement type="firstRowStripe" dxfId="301"/>
      <tableStyleElement type="secondRowStripe" dxfId="300"/>
    </tableStyle>
    <tableStyle name="SEPTEMBER 2026-style 15" pivot="0" count="2" xr9:uid="{00000000-0011-0000-FFFF-FFFF63010000}">
      <tableStyleElement type="firstRowStripe" dxfId="299"/>
      <tableStyleElement type="secondRowStripe" dxfId="298"/>
    </tableStyle>
    <tableStyle name="SEPTEMBER 2026-style 16" pivot="0" count="2" xr9:uid="{00000000-0011-0000-FFFF-FFFF64010000}">
      <tableStyleElement type="firstRowStripe" dxfId="297"/>
      <tableStyleElement type="secondRowStripe" dxfId="296"/>
    </tableStyle>
    <tableStyle name="SEPTEMBER 2026-style 17" pivot="0" count="2" xr9:uid="{00000000-0011-0000-FFFF-FFFF65010000}">
      <tableStyleElement type="firstRowStripe" dxfId="295"/>
      <tableStyleElement type="secondRowStripe" dxfId="294"/>
    </tableStyle>
    <tableStyle name="SEPTEMBER 2026-style 18" pivot="0" count="2" xr9:uid="{00000000-0011-0000-FFFF-FFFF66010000}">
      <tableStyleElement type="firstRowStripe" dxfId="293"/>
      <tableStyleElement type="secondRowStripe" dxfId="292"/>
    </tableStyle>
    <tableStyle name="SEPTEMBER 2026-style 19" pivot="0" count="2" xr9:uid="{00000000-0011-0000-FFFF-FFFF67010000}">
      <tableStyleElement type="firstRowStripe" dxfId="291"/>
      <tableStyleElement type="secondRowStripe" dxfId="290"/>
    </tableStyle>
    <tableStyle name="SEPTEMBER 2026-style 20" pivot="0" count="2" xr9:uid="{00000000-0011-0000-FFFF-FFFF68010000}">
      <tableStyleElement type="firstRowStripe" dxfId="289"/>
      <tableStyleElement type="secondRowStripe" dxfId="288"/>
    </tableStyle>
    <tableStyle name="SEPTEMBER 2026-style 21" pivot="0" count="2" xr9:uid="{00000000-0011-0000-FFFF-FFFF69010000}">
      <tableStyleElement type="firstRowStripe" dxfId="287"/>
      <tableStyleElement type="secondRowStripe" dxfId="286"/>
    </tableStyle>
    <tableStyle name="SEPTEMBER 2026-style 22" pivot="0" count="2" xr9:uid="{00000000-0011-0000-FFFF-FFFF6A010000}">
      <tableStyleElement type="firstRowStripe" dxfId="285"/>
      <tableStyleElement type="secondRowStripe" dxfId="284"/>
    </tableStyle>
    <tableStyle name="SEPTEMBER 2026-style 23" pivot="0" count="2" xr9:uid="{00000000-0011-0000-FFFF-FFFF6B010000}">
      <tableStyleElement type="firstRowStripe" dxfId="283"/>
      <tableStyleElement type="secondRowStripe" dxfId="282"/>
    </tableStyle>
    <tableStyle name="SEPTEMBER 2026-style 24" pivot="0" count="2" xr9:uid="{00000000-0011-0000-FFFF-FFFF6C010000}">
      <tableStyleElement type="firstRowStripe" dxfId="281"/>
      <tableStyleElement type="secondRowStripe" dxfId="280"/>
    </tableStyle>
    <tableStyle name="SEPTEMBER 2026-style 25" pivot="0" count="2" xr9:uid="{00000000-0011-0000-FFFF-FFFF6D010000}">
      <tableStyleElement type="firstRowStripe" dxfId="279"/>
      <tableStyleElement type="secondRowStripe" dxfId="278"/>
    </tableStyle>
    <tableStyle name="SEPTEMBER 2026-style 26" pivot="0" count="2" xr9:uid="{00000000-0011-0000-FFFF-FFFF6E010000}">
      <tableStyleElement type="firstRowStripe" dxfId="277"/>
      <tableStyleElement type="secondRowStripe" dxfId="276"/>
    </tableStyle>
    <tableStyle name="SEPTEMBER 2026-style 27" pivot="0" count="2" xr9:uid="{00000000-0011-0000-FFFF-FFFF6F010000}">
      <tableStyleElement type="firstRowStripe" dxfId="275"/>
      <tableStyleElement type="secondRowStripe" dxfId="274"/>
    </tableStyle>
    <tableStyle name="SEPTEMBER 2026-style 28" pivot="0" count="2" xr9:uid="{00000000-0011-0000-FFFF-FFFF70010000}">
      <tableStyleElement type="firstRowStripe" dxfId="273"/>
      <tableStyleElement type="secondRowStripe" dxfId="272"/>
    </tableStyle>
    <tableStyle name="SEPTEMBER 2026-style 29" pivot="0" count="2" xr9:uid="{00000000-0011-0000-FFFF-FFFF71010000}">
      <tableStyleElement type="firstRowStripe" dxfId="271"/>
      <tableStyleElement type="secondRowStripe" dxfId="270"/>
    </tableStyle>
    <tableStyle name="SEPTEMBER 2026-style 30" pivot="0" count="2" xr9:uid="{00000000-0011-0000-FFFF-FFFF72010000}">
      <tableStyleElement type="firstRowStripe" dxfId="269"/>
      <tableStyleElement type="secondRowStripe" dxfId="268"/>
    </tableStyle>
    <tableStyle name="SEPTEMBER 2026-style 31" pivot="0" count="2" xr9:uid="{00000000-0011-0000-FFFF-FFFF73010000}">
      <tableStyleElement type="firstRowStripe" dxfId="267"/>
      <tableStyleElement type="secondRowStripe" dxfId="266"/>
    </tableStyle>
    <tableStyle name="SEPTEMBER 2026-style 32" pivot="0" count="2" xr9:uid="{00000000-0011-0000-FFFF-FFFF74010000}">
      <tableStyleElement type="firstRowStripe" dxfId="265"/>
      <tableStyleElement type="secondRowStripe" dxfId="264"/>
    </tableStyle>
    <tableStyle name="SEPTEMBER 2026-style 33" pivot="0" count="2" xr9:uid="{00000000-0011-0000-FFFF-FFFF75010000}">
      <tableStyleElement type="firstRowStripe" dxfId="263"/>
      <tableStyleElement type="secondRowStripe" dxfId="262"/>
    </tableStyle>
    <tableStyle name="SEPTEMBER 2026-style 34" pivot="0" count="2" xr9:uid="{00000000-0011-0000-FFFF-FFFF76010000}">
      <tableStyleElement type="firstRowStripe" dxfId="261"/>
      <tableStyleElement type="secondRowStripe" dxfId="260"/>
    </tableStyle>
    <tableStyle name="SEPTEMBER 2026-style 35" pivot="0" count="2" xr9:uid="{00000000-0011-0000-FFFF-FFFF77010000}">
      <tableStyleElement type="firstRowStripe" dxfId="259"/>
      <tableStyleElement type="secondRowStripe" dxfId="258"/>
    </tableStyle>
    <tableStyle name="SEPTEMBER 2026-style 36" pivot="0" count="2" xr9:uid="{00000000-0011-0000-FFFF-FFFF78010000}">
      <tableStyleElement type="firstRowStripe" dxfId="257"/>
      <tableStyleElement type="secondRowStripe" dxfId="256"/>
    </tableStyle>
    <tableStyle name="SEPTEMBER 2026-style 37" pivot="0" count="2" xr9:uid="{00000000-0011-0000-FFFF-FFFF79010000}">
      <tableStyleElement type="firstRowStripe" dxfId="255"/>
      <tableStyleElement type="secondRowStripe" dxfId="254"/>
    </tableStyle>
    <tableStyle name="SEPTEMBER 2026-style 38" pivot="0" count="2" xr9:uid="{00000000-0011-0000-FFFF-FFFF7A010000}">
      <tableStyleElement type="firstRowStripe" dxfId="253"/>
      <tableStyleElement type="secondRowStripe" dxfId="252"/>
    </tableStyle>
    <tableStyle name="SEPTEMBER 2026-style 39" pivot="0" count="2" xr9:uid="{00000000-0011-0000-FFFF-FFFF7B010000}">
      <tableStyleElement type="firstRowStripe" dxfId="251"/>
      <tableStyleElement type="secondRowStripe" dxfId="250"/>
    </tableStyle>
    <tableStyle name="SEPTEMBER 2026-style 40" pivot="0" count="2" xr9:uid="{00000000-0011-0000-FFFF-FFFF7C010000}">
      <tableStyleElement type="firstRowStripe" dxfId="249"/>
      <tableStyleElement type="secondRowStripe" dxfId="248"/>
    </tableStyle>
    <tableStyle name="SEPTEMBER 2026-style 41" pivot="0" count="2" xr9:uid="{00000000-0011-0000-FFFF-FFFF7D010000}">
      <tableStyleElement type="firstRowStripe" dxfId="247"/>
      <tableStyleElement type="secondRowStripe" dxfId="246"/>
    </tableStyle>
    <tableStyle name="SEPTEMBER 2026-style 42" pivot="0" count="2" xr9:uid="{00000000-0011-0000-FFFF-FFFF7E010000}">
      <tableStyleElement type="firstRowStripe" dxfId="245"/>
      <tableStyleElement type="secondRowStripe" dxfId="244"/>
    </tableStyle>
    <tableStyle name="SEPTEMBER 2026-style 43" pivot="0" count="2" xr9:uid="{00000000-0011-0000-FFFF-FFFF7F010000}">
      <tableStyleElement type="firstRowStripe" dxfId="243"/>
      <tableStyleElement type="secondRowStripe" dxfId="242"/>
    </tableStyle>
    <tableStyle name="SEPTEMBER 2026-style 44" pivot="0" count="2" xr9:uid="{00000000-0011-0000-FFFF-FFFF80010000}">
      <tableStyleElement type="firstRowStripe" dxfId="241"/>
      <tableStyleElement type="secondRowStripe" dxfId="240"/>
    </tableStyle>
    <tableStyle name="SEPTEMBER 2026-style 45" pivot="0" count="2" xr9:uid="{00000000-0011-0000-FFFF-FFFF81010000}">
      <tableStyleElement type="firstRowStripe" dxfId="239"/>
      <tableStyleElement type="secondRowStripe" dxfId="238"/>
    </tableStyle>
    <tableStyle name="June-style" pivot="0" count="2" xr9:uid="{00000000-0011-0000-FFFF-FFFF82010000}">
      <tableStyleElement type="firstRowStripe" dxfId="237"/>
      <tableStyleElement type="secondRowStripe" dxfId="236"/>
    </tableStyle>
    <tableStyle name="June-style 2" pivot="0" count="2" xr9:uid="{00000000-0011-0000-FFFF-FFFF83010000}">
      <tableStyleElement type="firstRowStripe" dxfId="235"/>
      <tableStyleElement type="secondRowStripe" dxfId="234"/>
    </tableStyle>
    <tableStyle name="June-style 3" pivot="0" count="2" xr9:uid="{00000000-0011-0000-FFFF-FFFF84010000}">
      <tableStyleElement type="firstRowStripe" dxfId="233"/>
      <tableStyleElement type="secondRowStripe" dxfId="232"/>
    </tableStyle>
    <tableStyle name="June-style 4" pivot="0" count="2" xr9:uid="{00000000-0011-0000-FFFF-FFFF85010000}">
      <tableStyleElement type="firstRowStripe" dxfId="231"/>
      <tableStyleElement type="secondRowStripe" dxfId="230"/>
    </tableStyle>
    <tableStyle name="June-style 5" pivot="0" count="2" xr9:uid="{00000000-0011-0000-FFFF-FFFF86010000}">
      <tableStyleElement type="firstRowStripe" dxfId="229"/>
      <tableStyleElement type="secondRowStripe" dxfId="228"/>
    </tableStyle>
    <tableStyle name="October-style" pivot="0" count="2" xr9:uid="{00000000-0011-0000-FFFF-FFFF87010000}">
      <tableStyleElement type="firstRowStripe" dxfId="227"/>
      <tableStyleElement type="secondRowStripe" dxfId="226"/>
    </tableStyle>
    <tableStyle name="October-style 2" pivot="0" count="2" xr9:uid="{00000000-0011-0000-FFFF-FFFF88010000}">
      <tableStyleElement type="firstRowStripe" dxfId="225"/>
      <tableStyleElement type="secondRowStripe" dxfId="224"/>
    </tableStyle>
    <tableStyle name="October-style 3" pivot="0" count="2" xr9:uid="{00000000-0011-0000-FFFF-FFFF89010000}">
      <tableStyleElement type="firstRowStripe" dxfId="223"/>
      <tableStyleElement type="secondRowStripe" dxfId="222"/>
    </tableStyle>
    <tableStyle name="October-style 4" pivot="0" count="2" xr9:uid="{00000000-0011-0000-FFFF-FFFF8A010000}">
      <tableStyleElement type="firstRowStripe" dxfId="221"/>
      <tableStyleElement type="secondRowStripe" dxfId="220"/>
    </tableStyle>
    <tableStyle name="October-style 5" pivot="0" count="2" xr9:uid="{00000000-0011-0000-FFFF-FFFF8B010000}">
      <tableStyleElement type="firstRowStripe" dxfId="219"/>
      <tableStyleElement type="secondRowStripe" dxfId="218"/>
    </tableStyle>
    <tableStyle name="October-style 6" pivot="0" count="2" xr9:uid="{00000000-0011-0000-FFFF-FFFF8C010000}">
      <tableStyleElement type="firstRowStripe" dxfId="217"/>
      <tableStyleElement type="secondRowStripe" dxfId="216"/>
    </tableStyle>
    <tableStyle name="October-style 7" pivot="0" count="2" xr9:uid="{00000000-0011-0000-FFFF-FFFF8D010000}">
      <tableStyleElement type="firstRowStripe" dxfId="215"/>
      <tableStyleElement type="secondRowStripe" dxfId="214"/>
    </tableStyle>
    <tableStyle name="October-style 8" pivot="0" count="2" xr9:uid="{00000000-0011-0000-FFFF-FFFF8E010000}">
      <tableStyleElement type="firstRowStripe" dxfId="213"/>
      <tableStyleElement type="secondRowStripe" dxfId="212"/>
    </tableStyle>
    <tableStyle name="October-style 9" pivot="0" count="2" xr9:uid="{00000000-0011-0000-FFFF-FFFF8F010000}">
      <tableStyleElement type="firstRowStripe" dxfId="211"/>
      <tableStyleElement type="secondRowStripe" dxfId="210"/>
    </tableStyle>
    <tableStyle name="October-style 10" pivot="0" count="2" xr9:uid="{00000000-0011-0000-FFFF-FFFF90010000}">
      <tableStyleElement type="firstRowStripe" dxfId="209"/>
      <tableStyleElement type="secondRowStripe" dxfId="208"/>
    </tableStyle>
    <tableStyle name="October-style 11" pivot="0" count="2" xr9:uid="{00000000-0011-0000-FFFF-FFFF91010000}">
      <tableStyleElement type="firstRowStripe" dxfId="207"/>
      <tableStyleElement type="secondRowStripe" dxfId="206"/>
    </tableStyle>
    <tableStyle name="October-style 12" pivot="0" count="2" xr9:uid="{00000000-0011-0000-FFFF-FFFF92010000}">
      <tableStyleElement type="firstRowStripe" dxfId="205"/>
      <tableStyleElement type="secondRowStripe" dxfId="204"/>
    </tableStyle>
    <tableStyle name="October-style 13" pivot="0" count="2" xr9:uid="{00000000-0011-0000-FFFF-FFFF93010000}">
      <tableStyleElement type="firstRowStripe" dxfId="203"/>
      <tableStyleElement type="secondRowStripe" dxfId="202"/>
    </tableStyle>
    <tableStyle name="October-style 14" pivot="0" count="2" xr9:uid="{00000000-0011-0000-FFFF-FFFF94010000}">
      <tableStyleElement type="firstRowStripe" dxfId="201"/>
      <tableStyleElement type="secondRowStripe" dxfId="200"/>
    </tableStyle>
    <tableStyle name="October-style 15" pivot="0" count="2" xr9:uid="{00000000-0011-0000-FFFF-FFFF95010000}">
      <tableStyleElement type="firstRowStripe" dxfId="199"/>
      <tableStyleElement type="secondRowStripe" dxfId="198"/>
    </tableStyle>
    <tableStyle name="October-style 16" pivot="0" count="2" xr9:uid="{00000000-0011-0000-FFFF-FFFF96010000}">
      <tableStyleElement type="firstRowStripe" dxfId="197"/>
      <tableStyleElement type="secondRowStripe" dxfId="196"/>
    </tableStyle>
    <tableStyle name="October-style 17" pivot="0" count="2" xr9:uid="{00000000-0011-0000-FFFF-FFFF97010000}">
      <tableStyleElement type="firstRowStripe" dxfId="195"/>
      <tableStyleElement type="secondRowStripe" dxfId="194"/>
    </tableStyle>
    <tableStyle name="October-style 18" pivot="0" count="2" xr9:uid="{00000000-0011-0000-FFFF-FFFF98010000}">
      <tableStyleElement type="firstRowStripe" dxfId="193"/>
      <tableStyleElement type="secondRowStripe" dxfId="192"/>
    </tableStyle>
    <tableStyle name="October-style 19" pivot="0" count="2" xr9:uid="{00000000-0011-0000-FFFF-FFFF99010000}">
      <tableStyleElement type="firstRowStripe" dxfId="191"/>
      <tableStyleElement type="secondRowStripe" dxfId="190"/>
    </tableStyle>
    <tableStyle name="October-style 20" pivot="0" count="2" xr9:uid="{00000000-0011-0000-FFFF-FFFF9A010000}">
      <tableStyleElement type="firstRowStripe" dxfId="189"/>
      <tableStyleElement type="secondRowStripe" dxfId="188"/>
    </tableStyle>
    <tableStyle name="October-style 21" pivot="0" count="2" xr9:uid="{00000000-0011-0000-FFFF-FFFF9B010000}">
      <tableStyleElement type="firstRowStripe" dxfId="187"/>
      <tableStyleElement type="secondRowStripe" dxfId="186"/>
    </tableStyle>
    <tableStyle name="October-style 22" pivot="0" count="2" xr9:uid="{00000000-0011-0000-FFFF-FFFF9C010000}">
      <tableStyleElement type="firstRowStripe" dxfId="185"/>
      <tableStyleElement type="secondRowStripe" dxfId="184"/>
    </tableStyle>
    <tableStyle name="October-style 23" pivot="0" count="2" xr9:uid="{00000000-0011-0000-FFFF-FFFF9D010000}">
      <tableStyleElement type="firstRowStripe" dxfId="183"/>
      <tableStyleElement type="secondRowStripe" dxfId="182"/>
    </tableStyle>
    <tableStyle name="October-style 24" pivot="0" count="2" xr9:uid="{00000000-0011-0000-FFFF-FFFF9E010000}">
      <tableStyleElement type="firstRowStripe" dxfId="181"/>
      <tableStyleElement type="secondRowStripe" dxfId="180"/>
    </tableStyle>
    <tableStyle name="October-style 25" pivot="0" count="2" xr9:uid="{00000000-0011-0000-FFFF-FFFF9F010000}">
      <tableStyleElement type="firstRowStripe" dxfId="179"/>
      <tableStyleElement type="secondRowStripe" dxfId="178"/>
    </tableStyle>
    <tableStyle name="October-style 26" pivot="0" count="2" xr9:uid="{00000000-0011-0000-FFFF-FFFFA0010000}">
      <tableStyleElement type="firstRowStripe" dxfId="177"/>
      <tableStyleElement type="secondRowStripe" dxfId="176"/>
    </tableStyle>
    <tableStyle name="October-style 27" pivot="0" count="2" xr9:uid="{00000000-0011-0000-FFFF-FFFFA1010000}">
      <tableStyleElement type="firstRowStripe" dxfId="175"/>
      <tableStyleElement type="secondRowStripe" dxfId="174"/>
    </tableStyle>
    <tableStyle name="October-style 28" pivot="0" count="2" xr9:uid="{00000000-0011-0000-FFFF-FFFFA2010000}">
      <tableStyleElement type="firstRowStripe" dxfId="173"/>
      <tableStyleElement type="secondRowStripe" dxfId="172"/>
    </tableStyle>
    <tableStyle name="October-style 29" pivot="0" count="2" xr9:uid="{00000000-0011-0000-FFFF-FFFFA3010000}">
      <tableStyleElement type="firstRowStripe" dxfId="171"/>
      <tableStyleElement type="secondRowStripe" dxfId="170"/>
    </tableStyle>
    <tableStyle name="October-style 30" pivot="0" count="2" xr9:uid="{00000000-0011-0000-FFFF-FFFFA4010000}">
      <tableStyleElement type="firstRowStripe" dxfId="169"/>
      <tableStyleElement type="secondRowStripe" dxfId="168"/>
    </tableStyle>
    <tableStyle name="Copy of April_conflict595139647-style" pivot="0" count="2" xr9:uid="{00000000-0011-0000-FFFF-FFFFA5010000}">
      <tableStyleElement type="firstRowStripe" dxfId="167"/>
      <tableStyleElement type="secondRowStripe" dxfId="166"/>
    </tableStyle>
    <tableStyle name="Copy of April_conflict595139647-style 2" pivot="0" count="2" xr9:uid="{00000000-0011-0000-FFFF-FFFFA6010000}">
      <tableStyleElement type="firstRowStripe" dxfId="165"/>
      <tableStyleElement type="secondRowStripe" dxfId="164"/>
    </tableStyle>
    <tableStyle name="Copy of April_conflict595139647-style 3" pivot="0" count="2" xr9:uid="{00000000-0011-0000-FFFF-FFFFA7010000}">
      <tableStyleElement type="firstRowStripe" dxfId="163"/>
      <tableStyleElement type="secondRowStripe" dxfId="162"/>
    </tableStyle>
    <tableStyle name="Copy of April_conflict595139647-style 4" pivot="0" count="2" xr9:uid="{00000000-0011-0000-FFFF-FFFFA8010000}">
      <tableStyleElement type="firstRowStripe" dxfId="161"/>
      <tableStyleElement type="secondRowStripe" dxfId="160"/>
    </tableStyle>
    <tableStyle name="Copy of April_conflict595139647-style 5" pivot="0" count="2" xr9:uid="{00000000-0011-0000-FFFF-FFFFA9010000}">
      <tableStyleElement type="firstRowStripe" dxfId="159"/>
      <tableStyleElement type="secondRowStripe" dxfId="158"/>
    </tableStyle>
    <tableStyle name="Copy of April_conflict595139647-style 6" pivot="0" count="2" xr9:uid="{00000000-0011-0000-FFFF-FFFFAA010000}">
      <tableStyleElement type="firstRowStripe" dxfId="157"/>
      <tableStyleElement type="secondRowStripe" dxfId="156"/>
    </tableStyle>
    <tableStyle name="Copy of April_conflict595139647-style 7" pivot="0" count="2" xr9:uid="{00000000-0011-0000-FFFF-FFFFAB010000}">
      <tableStyleElement type="firstRowStripe" dxfId="155"/>
      <tableStyleElement type="secondRowStripe" dxfId="154"/>
    </tableStyle>
    <tableStyle name="Copy of April_conflict595139647-style 8" pivot="0" count="2" xr9:uid="{00000000-0011-0000-FFFF-FFFFAC010000}">
      <tableStyleElement type="firstRowStripe" dxfId="153"/>
      <tableStyleElement type="secondRowStripe" dxfId="152"/>
    </tableStyle>
    <tableStyle name="Copy of April_conflict595139647-style 9" pivot="0" count="2" xr9:uid="{00000000-0011-0000-FFFF-FFFFAD010000}">
      <tableStyleElement type="firstRowStripe" dxfId="151"/>
      <tableStyleElement type="secondRowStripe" dxfId="150"/>
    </tableStyle>
    <tableStyle name="Copy of April_conflict595139647-style 10" pivot="0" count="2" xr9:uid="{00000000-0011-0000-FFFF-FFFFAE010000}">
      <tableStyleElement type="firstRowStripe" dxfId="149"/>
      <tableStyleElement type="secondRowStripe" dxfId="148"/>
    </tableStyle>
    <tableStyle name="Copy of April_conflict595139647-style 11" pivot="0" count="2" xr9:uid="{00000000-0011-0000-FFFF-FFFFAF010000}">
      <tableStyleElement type="firstRowStripe" dxfId="147"/>
      <tableStyleElement type="secondRowStripe" dxfId="146"/>
    </tableStyle>
    <tableStyle name="Copy of April_conflict595139647-style 12" pivot="0" count="2" xr9:uid="{00000000-0011-0000-FFFF-FFFFB0010000}">
      <tableStyleElement type="firstRowStripe" dxfId="145"/>
      <tableStyleElement type="secondRowStripe" dxfId="144"/>
    </tableStyle>
    <tableStyle name="Copy of April_conflict595139647-style 13" pivot="0" count="2" xr9:uid="{00000000-0011-0000-FFFF-FFFFB1010000}">
      <tableStyleElement type="firstRowStripe" dxfId="143"/>
      <tableStyleElement type="secondRowStripe" dxfId="142"/>
    </tableStyle>
    <tableStyle name="Copy of April_conflict595139647-style 14" pivot="0" count="2" xr9:uid="{00000000-0011-0000-FFFF-FFFFB2010000}">
      <tableStyleElement type="firstRowStripe" dxfId="141"/>
      <tableStyleElement type="secondRowStripe" dxfId="140"/>
    </tableStyle>
    <tableStyle name="Copy of April_conflict595139647-style 15" pivot="0" count="2" xr9:uid="{00000000-0011-0000-FFFF-FFFFB3010000}">
      <tableStyleElement type="firstRowStripe" dxfId="139"/>
      <tableStyleElement type="secondRowStripe" dxfId="138"/>
    </tableStyle>
    <tableStyle name="Copy of April_conflict595139647-style 16" pivot="0" count="2" xr9:uid="{00000000-0011-0000-FFFF-FFFFB4010000}">
      <tableStyleElement type="firstRowStripe" dxfId="137"/>
      <tableStyleElement type="secondRowStripe" dxfId="136"/>
    </tableStyle>
    <tableStyle name="Copy of April_conflict595139647-style 17" pivot="0" count="2" xr9:uid="{00000000-0011-0000-FFFF-FFFFB5010000}">
      <tableStyleElement type="firstRowStripe" dxfId="135"/>
      <tableStyleElement type="secondRowStripe" dxfId="134"/>
    </tableStyle>
    <tableStyle name="Copy of April_conflict595139647-style 18" pivot="0" count="2" xr9:uid="{00000000-0011-0000-FFFF-FFFFB6010000}">
      <tableStyleElement type="firstRowStripe" dxfId="133"/>
      <tableStyleElement type="secondRowStripe" dxfId="132"/>
    </tableStyle>
    <tableStyle name="Copy of April_conflict595139647-style 19" pivot="0" count="2" xr9:uid="{00000000-0011-0000-FFFF-FFFFB7010000}">
      <tableStyleElement type="firstRowStripe" dxfId="131"/>
      <tableStyleElement type="secondRowStripe" dxfId="130"/>
    </tableStyle>
    <tableStyle name="Copy of April_conflict595139647-style 20" pivot="0" count="2" xr9:uid="{00000000-0011-0000-FFFF-FFFFB8010000}">
      <tableStyleElement type="firstRowStripe" dxfId="129"/>
      <tableStyleElement type="secondRowStripe" dxfId="128"/>
    </tableStyle>
    <tableStyle name="Copy of April_conflict595139647-style 21" pivot="0" count="2" xr9:uid="{00000000-0011-0000-FFFF-FFFFB9010000}">
      <tableStyleElement type="firstRowStripe" dxfId="127"/>
      <tableStyleElement type="secondRowStripe" dxfId="126"/>
    </tableStyle>
    <tableStyle name="Copy of April_conflict595139647-style 22" pivot="0" count="2" xr9:uid="{00000000-0011-0000-FFFF-FFFFBA010000}">
      <tableStyleElement type="firstRowStripe" dxfId="125"/>
      <tableStyleElement type="secondRowStripe" dxfId="124"/>
    </tableStyle>
    <tableStyle name="Copy of April_conflict595139647-style 23" pivot="0" count="2" xr9:uid="{00000000-0011-0000-FFFF-FFFFBB010000}">
      <tableStyleElement type="firstRowStripe" dxfId="123"/>
      <tableStyleElement type="secondRowStripe" dxfId="122"/>
    </tableStyle>
    <tableStyle name="Copy of April_conflict595139647-style 24" pivot="0" count="2" xr9:uid="{00000000-0011-0000-FFFF-FFFFBC010000}">
      <tableStyleElement type="firstRowStripe" dxfId="121"/>
      <tableStyleElement type="secondRowStripe" dxfId="120"/>
    </tableStyle>
    <tableStyle name="Copy of April_conflict595139647-style 25" pivot="0" count="2" xr9:uid="{00000000-0011-0000-FFFF-FFFFBD010000}">
      <tableStyleElement type="firstRowStripe" dxfId="119"/>
      <tableStyleElement type="secondRowStripe" dxfId="118"/>
    </tableStyle>
    <tableStyle name="Copy of April_conflict595139647-style 26" pivot="0" count="2" xr9:uid="{00000000-0011-0000-FFFF-FFFFBE010000}">
      <tableStyleElement type="firstRowStripe" dxfId="117"/>
      <tableStyleElement type="secondRowStripe" dxfId="116"/>
    </tableStyle>
    <tableStyle name="Copy of April_conflict595139647-style 27" pivot="0" count="2" xr9:uid="{00000000-0011-0000-FFFF-FFFFBF010000}">
      <tableStyleElement type="firstRowStripe" dxfId="115"/>
      <tableStyleElement type="secondRowStripe" dxfId="114"/>
    </tableStyle>
    <tableStyle name="Copy of April_conflict595139647-style 28" pivot="0" count="2" xr9:uid="{00000000-0011-0000-FFFF-FFFFC0010000}">
      <tableStyleElement type="firstRowStripe" dxfId="113"/>
      <tableStyleElement type="secondRowStripe" dxfId="112"/>
    </tableStyle>
    <tableStyle name="Copy of April_conflict595139647-style 29" pivot="0" count="2" xr9:uid="{00000000-0011-0000-FFFF-FFFFC1010000}">
      <tableStyleElement type="firstRowStripe" dxfId="111"/>
      <tableStyleElement type="secondRowStripe" dxfId="110"/>
    </tableStyle>
    <tableStyle name="Copy of April_conflict595139647-style 30" pivot="0" count="2" xr9:uid="{00000000-0011-0000-FFFF-FFFFC2010000}">
      <tableStyleElement type="firstRowStripe" dxfId="109"/>
      <tableStyleElement type="secondRowStripe" dxfId="108"/>
    </tableStyle>
    <tableStyle name="Copy of April_conflict595139647-style 31" pivot="0" count="2" xr9:uid="{00000000-0011-0000-FFFF-FFFFC3010000}">
      <tableStyleElement type="firstRowStripe" dxfId="107"/>
      <tableStyleElement type="secondRowStripe" dxfId="106"/>
    </tableStyle>
    <tableStyle name="Copy of April_conflict595139647-style 32" pivot="0" count="2" xr9:uid="{00000000-0011-0000-FFFF-FFFFC4010000}">
      <tableStyleElement type="firstRowStripe" dxfId="105"/>
      <tableStyleElement type="secondRowStripe" dxfId="104"/>
    </tableStyle>
    <tableStyle name="Copy of April_conflict595139647-style 33" pivot="0" count="2" xr9:uid="{00000000-0011-0000-FFFF-FFFFC5010000}">
      <tableStyleElement type="firstRowStripe" dxfId="103"/>
      <tableStyleElement type="secondRowStripe" dxfId="102"/>
    </tableStyle>
    <tableStyle name="Copy of April_conflict595139647-style 34" pivot="0" count="2" xr9:uid="{00000000-0011-0000-FFFF-FFFFC6010000}">
      <tableStyleElement type="firstRowStripe" dxfId="101"/>
      <tableStyleElement type="secondRowStripe" dxfId="100"/>
    </tableStyle>
    <tableStyle name="Copy of April_conflict595139647-style 35" pivot="0" count="2" xr9:uid="{00000000-0011-0000-FFFF-FFFFC7010000}">
      <tableStyleElement type="firstRowStripe" dxfId="99"/>
      <tableStyleElement type="secondRowStripe" dxfId="98"/>
    </tableStyle>
    <tableStyle name="Copy of April_conflict595139647-style 36" pivot="0" count="2" xr9:uid="{00000000-0011-0000-FFFF-FFFFC8010000}">
      <tableStyleElement type="firstRowStripe" dxfId="97"/>
      <tableStyleElement type="secondRowStripe" dxfId="96"/>
    </tableStyle>
    <tableStyle name="Copy of April_conflict595139647-style 37" pivot="0" count="2" xr9:uid="{00000000-0011-0000-FFFF-FFFFC9010000}">
      <tableStyleElement type="firstRowStripe" dxfId="95"/>
      <tableStyleElement type="secondRowStripe" dxfId="94"/>
    </tableStyle>
    <tableStyle name="Copy of April_conflict595139647-style 38" pivot="0" count="2" xr9:uid="{00000000-0011-0000-FFFF-FFFFCA010000}">
      <tableStyleElement type="firstRowStripe" dxfId="93"/>
      <tableStyleElement type="secondRowStripe" dxfId="92"/>
    </tableStyle>
    <tableStyle name="Copy of April_conflict595139647-style 39" pivot="0" count="2" xr9:uid="{00000000-0011-0000-FFFF-FFFFCB010000}">
      <tableStyleElement type="firstRowStripe" dxfId="91"/>
      <tableStyleElement type="secondRowStripe" dxfId="90"/>
    </tableStyle>
    <tableStyle name="Copy of April_conflict595139647-style 40" pivot="0" count="2" xr9:uid="{00000000-0011-0000-FFFF-FFFFCC010000}">
      <tableStyleElement type="firstRowStripe" dxfId="89"/>
      <tableStyleElement type="secondRowStripe" dxfId="88"/>
    </tableStyle>
    <tableStyle name="Copy of April_conflict595139647-style 41" pivot="0" count="2" xr9:uid="{00000000-0011-0000-FFFF-FFFFCD010000}">
      <tableStyleElement type="firstRowStripe" dxfId="87"/>
      <tableStyleElement type="secondRowStripe" dxfId="86"/>
    </tableStyle>
    <tableStyle name="Copy of April_conflict595139647-style 42" pivot="0" count="2" xr9:uid="{00000000-0011-0000-FFFF-FFFFCE010000}">
      <tableStyleElement type="firstRowStripe" dxfId="85"/>
      <tableStyleElement type="secondRowStripe" dxfId="84"/>
    </tableStyle>
    <tableStyle name="TEMPLATE-style" pivot="0" count="2" xr9:uid="{00000000-0011-0000-FFFF-FFFFCF010000}">
      <tableStyleElement type="firstRowStripe" dxfId="83"/>
      <tableStyleElement type="secondRowStripe" dxfId="82"/>
    </tableStyle>
    <tableStyle name="TEMPLATE-style 2" pivot="0" count="2" xr9:uid="{00000000-0011-0000-FFFF-FFFFD0010000}">
      <tableStyleElement type="firstRowStripe" dxfId="81"/>
      <tableStyleElement type="secondRowStripe" dxfId="80"/>
    </tableStyle>
    <tableStyle name="TEMPLATE-style 3" pivot="0" count="2" xr9:uid="{00000000-0011-0000-FFFF-FFFFD1010000}">
      <tableStyleElement type="firstRowStripe" dxfId="79"/>
      <tableStyleElement type="secondRowStripe" dxfId="78"/>
    </tableStyle>
    <tableStyle name="TEMPLATE-style 4" pivot="0" count="2" xr9:uid="{00000000-0011-0000-FFFF-FFFFD2010000}">
      <tableStyleElement type="firstRowStripe" dxfId="77"/>
      <tableStyleElement type="secondRowStripe" dxfId="76"/>
    </tableStyle>
    <tableStyle name="TEMPLATE-style 5" pivot="0" count="2" xr9:uid="{00000000-0011-0000-FFFF-FFFFD3010000}">
      <tableStyleElement type="firstRowStripe" dxfId="75"/>
      <tableStyleElement type="secondRowStripe" dxfId="74"/>
    </tableStyle>
    <tableStyle name="TEMPLATE-style 6" pivot="0" count="2" xr9:uid="{00000000-0011-0000-FFFF-FFFFD4010000}">
      <tableStyleElement type="firstRowStripe" dxfId="73"/>
      <tableStyleElement type="secondRowStripe" dxfId="72"/>
    </tableStyle>
    <tableStyle name="TEMPLATE-style 7" pivot="0" count="2" xr9:uid="{00000000-0011-0000-FFFF-FFFFD5010000}">
      <tableStyleElement type="firstRowStripe" dxfId="71"/>
      <tableStyleElement type="secondRowStripe" dxfId="70"/>
    </tableStyle>
    <tableStyle name="TEMPLATE-style 8" pivot="0" count="2" xr9:uid="{00000000-0011-0000-FFFF-FFFFD6010000}">
      <tableStyleElement type="firstRowStripe" dxfId="69"/>
      <tableStyleElement type="secondRowStripe" dxfId="68"/>
    </tableStyle>
    <tableStyle name="TEMPLATE-style 9" pivot="0" count="2" xr9:uid="{00000000-0011-0000-FFFF-FFFFD7010000}">
      <tableStyleElement type="firstRowStripe" dxfId="67"/>
      <tableStyleElement type="secondRowStripe" dxfId="66"/>
    </tableStyle>
    <tableStyle name="TEMPLATE-style 10" pivot="0" count="2" xr9:uid="{00000000-0011-0000-FFFF-FFFFD8010000}">
      <tableStyleElement type="firstRowStripe" dxfId="65"/>
      <tableStyleElement type="secondRowStripe" dxfId="64"/>
    </tableStyle>
    <tableStyle name="TEMPLATE-style 11" pivot="0" count="2" xr9:uid="{00000000-0011-0000-FFFF-FFFFD9010000}">
      <tableStyleElement type="firstRowStripe" dxfId="63"/>
      <tableStyleElement type="secondRowStripe" dxfId="62"/>
    </tableStyle>
    <tableStyle name="TEMPLATE-style 12" pivot="0" count="2" xr9:uid="{00000000-0011-0000-FFFF-FFFFDA010000}">
      <tableStyleElement type="firstRowStripe" dxfId="61"/>
      <tableStyleElement type="secondRowStripe" dxfId="60"/>
    </tableStyle>
    <tableStyle name="TEMPLATE-style 13" pivot="0" count="2" xr9:uid="{00000000-0011-0000-FFFF-FFFFDB010000}">
      <tableStyleElement type="firstRowStripe" dxfId="59"/>
      <tableStyleElement type="secondRowStripe" dxfId="58"/>
    </tableStyle>
    <tableStyle name="TEMPLATE-style 14" pivot="0" count="2" xr9:uid="{00000000-0011-0000-FFFF-FFFFDC010000}">
      <tableStyleElement type="firstRowStripe" dxfId="57"/>
      <tableStyleElement type="secondRowStripe" dxfId="56"/>
    </tableStyle>
    <tableStyle name="TEMPLATE-style 15" pivot="0" count="2" xr9:uid="{00000000-0011-0000-FFFF-FFFFDD010000}">
      <tableStyleElement type="firstRowStripe" dxfId="55"/>
      <tableStyleElement type="secondRowStripe" dxfId="54"/>
    </tableStyle>
    <tableStyle name="TEMPLATE-style 16" pivot="0" count="2" xr9:uid="{00000000-0011-0000-FFFF-FFFFDE010000}">
      <tableStyleElement type="firstRowStripe" dxfId="53"/>
      <tableStyleElement type="secondRowStripe" dxfId="52"/>
    </tableStyle>
    <tableStyle name="TEMPLATE-style 17" pivot="0" count="2" xr9:uid="{00000000-0011-0000-FFFF-FFFFDF010000}">
      <tableStyleElement type="firstRowStripe" dxfId="51"/>
      <tableStyleElement type="secondRowStripe" dxfId="50"/>
    </tableStyle>
    <tableStyle name="TEMPLATE-style 18" pivot="0" count="2" xr9:uid="{00000000-0011-0000-FFFF-FFFFE0010000}">
      <tableStyleElement type="firstRowStripe" dxfId="49"/>
      <tableStyleElement type="secondRowStripe" dxfId="48"/>
    </tableStyle>
    <tableStyle name="TEMPLATE-style 19" pivot="0" count="2" xr9:uid="{00000000-0011-0000-FFFF-FFFFE1010000}">
      <tableStyleElement type="firstRowStripe" dxfId="47"/>
      <tableStyleElement type="secondRowStripe" dxfId="46"/>
    </tableStyle>
    <tableStyle name="TEMPLATE-style 20" pivot="0" count="2" xr9:uid="{00000000-0011-0000-FFFF-FFFFE2010000}">
      <tableStyleElement type="firstRowStripe" dxfId="45"/>
      <tableStyleElement type="secondRowStripe" dxfId="44"/>
    </tableStyle>
    <tableStyle name="TEMPLATE-style 21" pivot="0" count="2" xr9:uid="{00000000-0011-0000-FFFF-FFFFE3010000}">
      <tableStyleElement type="firstRowStripe" dxfId="43"/>
      <tableStyleElement type="secondRowStripe" dxfId="42"/>
    </tableStyle>
    <tableStyle name="TEMPLATE-style 22" pivot="0" count="2" xr9:uid="{00000000-0011-0000-FFFF-FFFFE4010000}">
      <tableStyleElement type="firstRowStripe" dxfId="41"/>
      <tableStyleElement type="secondRowStripe" dxfId="40"/>
    </tableStyle>
    <tableStyle name="TEMPLATE-style 23" pivot="0" count="2" xr9:uid="{00000000-0011-0000-FFFF-FFFFE5010000}">
      <tableStyleElement type="firstRowStripe" dxfId="39"/>
      <tableStyleElement type="secondRowStripe" dxfId="38"/>
    </tableStyle>
    <tableStyle name="TEMPLATE-style 24" pivot="0" count="2" xr9:uid="{00000000-0011-0000-FFFF-FFFFE6010000}">
      <tableStyleElement type="firstRowStripe" dxfId="37"/>
      <tableStyleElement type="secondRowStripe" dxfId="36"/>
    </tableStyle>
    <tableStyle name="TEMPLATE-style 25" pivot="0" count="2" xr9:uid="{00000000-0011-0000-FFFF-FFFFE7010000}">
      <tableStyleElement type="firstRowStripe" dxfId="35"/>
      <tableStyleElement type="secondRowStripe" dxfId="34"/>
    </tableStyle>
    <tableStyle name="TEMPLATE-style 26" pivot="0" count="2" xr9:uid="{00000000-0011-0000-FFFF-FFFFE8010000}">
      <tableStyleElement type="firstRowStripe" dxfId="33"/>
      <tableStyleElement type="secondRowStripe" dxfId="32"/>
    </tableStyle>
    <tableStyle name="TEMPLATE-style 27" pivot="0" count="2" xr9:uid="{00000000-0011-0000-FFFF-FFFFE9010000}">
      <tableStyleElement type="firstRowStripe" dxfId="31"/>
      <tableStyleElement type="secondRowStripe" dxfId="30"/>
    </tableStyle>
    <tableStyle name="TEMPLATE-style 28" pivot="0" count="2" xr9:uid="{00000000-0011-0000-FFFF-FFFFEA010000}">
      <tableStyleElement type="firstRowStripe" dxfId="29"/>
      <tableStyleElement type="secondRowStripe" dxfId="28"/>
    </tableStyle>
    <tableStyle name="TEMPLATE-style 29" pivot="0" count="2" xr9:uid="{00000000-0011-0000-FFFF-FFFFEB010000}">
      <tableStyleElement type="firstRowStripe" dxfId="27"/>
      <tableStyleElement type="secondRowStripe" dxfId="26"/>
    </tableStyle>
    <tableStyle name="TEMPLATE-style 30" pivot="0" count="2" xr9:uid="{00000000-0011-0000-FFFF-FFFFEC010000}">
      <tableStyleElement type="firstRowStripe" dxfId="25"/>
      <tableStyleElement type="secondRowStripe" dxfId="24"/>
    </tableStyle>
    <tableStyle name="TEMPLATE-style 31" pivot="0" count="2" xr9:uid="{00000000-0011-0000-FFFF-FFFFED010000}">
      <tableStyleElement type="firstRowStripe" dxfId="23"/>
      <tableStyleElement type="secondRowStripe" dxfId="22"/>
    </tableStyle>
    <tableStyle name="TEMPLATE-style 32" pivot="0" count="2" xr9:uid="{00000000-0011-0000-FFFF-FFFFEE010000}">
      <tableStyleElement type="firstRowStripe" dxfId="21"/>
      <tableStyleElement type="secondRowStripe" dxfId="20"/>
    </tableStyle>
    <tableStyle name="TEMPLATE-style 33" pivot="0" count="2" xr9:uid="{00000000-0011-0000-FFFF-FFFFEF010000}">
      <tableStyleElement type="firstRowStripe" dxfId="19"/>
      <tableStyleElement type="secondRowStripe" dxfId="18"/>
    </tableStyle>
    <tableStyle name="TEMPLATE-style 34" pivot="0" count="2" xr9:uid="{00000000-0011-0000-FFFF-FFFFF0010000}">
      <tableStyleElement type="firstRowStripe" dxfId="17"/>
      <tableStyleElement type="secondRowStripe" dxfId="16"/>
    </tableStyle>
    <tableStyle name="TEMPLATE-style 35" pivot="0" count="2" xr9:uid="{00000000-0011-0000-FFFF-FFFFF1010000}">
      <tableStyleElement type="firstRowStripe" dxfId="15"/>
      <tableStyleElement type="secondRowStripe" dxfId="14"/>
    </tableStyle>
    <tableStyle name="TEMPLATE-style 36" pivot="0" count="2" xr9:uid="{00000000-0011-0000-FFFF-FFFFF2010000}">
      <tableStyleElement type="firstRowStripe" dxfId="13"/>
      <tableStyleElement type="secondRowStripe" dxfId="12"/>
    </tableStyle>
    <tableStyle name="TEMPLATE-style 37" pivot="0" count="2" xr9:uid="{00000000-0011-0000-FFFF-FFFFF3010000}">
      <tableStyleElement type="firstRowStripe" dxfId="11"/>
      <tableStyleElement type="secondRowStripe" dxfId="10"/>
    </tableStyle>
    <tableStyle name="TEMPLATE-style 38" pivot="0" count="2" xr9:uid="{00000000-0011-0000-FFFF-FFFFF4010000}">
      <tableStyleElement type="firstRowStripe" dxfId="9"/>
      <tableStyleElement type="secondRowStripe" dxfId="8"/>
    </tableStyle>
    <tableStyle name="TEMPLATE-style 39" pivot="0" count="2" xr9:uid="{00000000-0011-0000-FFFF-FFFFF5010000}">
      <tableStyleElement type="firstRowStripe" dxfId="7"/>
      <tableStyleElement type="secondRowStripe" dxfId="6"/>
    </tableStyle>
    <tableStyle name="TEMPLATE-style 40" pivot="0" count="2" xr9:uid="{00000000-0011-0000-FFFF-FFFFF6010000}">
      <tableStyleElement type="firstRowStripe" dxfId="5"/>
      <tableStyleElement type="secondRowStripe" dxfId="4"/>
    </tableStyle>
    <tableStyle name="TEMPLATE-style 41" pivot="0" count="2" xr9:uid="{00000000-0011-0000-FFFF-FFFFF7010000}">
      <tableStyleElement type="firstRowStripe" dxfId="3"/>
      <tableStyleElement type="secondRowStripe" dxfId="2"/>
    </tableStyle>
    <tableStyle name="TEMPLATE-style 42" pivot="0" count="2" xr9:uid="{00000000-0011-0000-FFFF-FFFFF8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00000000-000C-0000-FFFF-FFFF55010000}" name="Table_342" displayName="Table_342" ref="Q4:R5" headerRowCount="0">
  <tableColumns count="2">
    <tableColumn id="1" xr3:uid="{00000000-0010-0000-5501-000001000000}" name="Column1"/>
    <tableColumn id="2" xr3:uid="{00000000-0010-0000-5501-000002000000}" name="Column2"/>
  </tableColumns>
  <tableStyleInfo name="SEPTEMBER 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xr:uid="{00000000-000C-0000-FFFF-FFFF56010000}" name="Table_343" displayName="Table_343" ref="P12:Q13" headerRowCount="0">
  <tableColumns count="2">
    <tableColumn id="1" xr3:uid="{00000000-0010-0000-5601-000001000000}" name="Column1"/>
    <tableColumn id="2" xr3:uid="{00000000-0010-0000-5601-000002000000}" name="Column2"/>
  </tableColumns>
  <tableStyleInfo name="SEPTEMBER 2026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00000000-000C-0000-FFFF-FFFF57010000}" name="Table_344" displayName="Table_344" ref="P16:Q17" headerRowCount="0">
  <tableColumns count="2">
    <tableColumn id="1" xr3:uid="{00000000-0010-0000-5701-000001000000}" name="Column1"/>
    <tableColumn id="2" xr3:uid="{00000000-0010-0000-5701-000002000000}" name="Column2"/>
  </tableColumns>
  <tableStyleInfo name="SEPTEMBER 2026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00000000-000C-0000-FFFF-FFFF58010000}" name="Table_345" displayName="Table_345" ref="E46:F166" headerRowCount="0">
  <tableColumns count="2">
    <tableColumn id="1" xr3:uid="{00000000-0010-0000-5801-000001000000}" name="Column1"/>
    <tableColumn id="2" xr3:uid="{00000000-0010-0000-5801-000002000000}" name="Column2"/>
  </tableColumns>
  <tableStyleInfo name="SEPTEMBER 2026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00000000-000C-0000-FFFF-FFFF59010000}" name="Table_346" displayName="Table_346" ref="G46:H166" headerRowCount="0">
  <tableColumns count="2">
    <tableColumn id="1" xr3:uid="{00000000-0010-0000-5901-000001000000}" name="Column1"/>
    <tableColumn id="2" xr3:uid="{00000000-0010-0000-5901-000002000000}" name="Column2"/>
  </tableColumns>
  <tableStyleInfo name="SEPTEMBER 2026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00000000-000C-0000-FFFF-FFFF5A010000}" name="Table_347" displayName="Table_347" ref="I46:J166" headerRowCount="0">
  <tableColumns count="2">
    <tableColumn id="1" xr3:uid="{00000000-0010-0000-5A01-000001000000}" name="Column1"/>
    <tableColumn id="2" xr3:uid="{00000000-0010-0000-5A01-000002000000}" name="Column2"/>
  </tableColumns>
  <tableStyleInfo name="SEPTEMBER 2026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00000000-000C-0000-FFFF-FFFF5B010000}" name="Table_348" displayName="Table_348" ref="K46:L166" headerRowCount="0">
  <tableColumns count="2">
    <tableColumn id="1" xr3:uid="{00000000-0010-0000-5B01-000001000000}" name="Column1"/>
    <tableColumn id="2" xr3:uid="{00000000-0010-0000-5B01-000002000000}" name="Column2"/>
  </tableColumns>
  <tableStyleInfo name="SEPTEMBER 2026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00000000-000C-0000-FFFF-FFFF5C010000}" name="Table_349" displayName="Table_349" ref="M46:N166" headerRowCount="0">
  <tableColumns count="2">
    <tableColumn id="1" xr3:uid="{00000000-0010-0000-5C01-000001000000}" name="Column1"/>
    <tableColumn id="2" xr3:uid="{00000000-0010-0000-5C01-000002000000}" name="Column2"/>
  </tableColumns>
  <tableStyleInfo name="SEPTEMBER 2026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00000000-000C-0000-FFFF-FFFF5D010000}" name="Table_350" displayName="Table_350" ref="E167:F221" headerRowCount="0">
  <tableColumns count="2">
    <tableColumn id="1" xr3:uid="{00000000-0010-0000-5D01-000001000000}" name="Column1"/>
    <tableColumn id="2" xr3:uid="{00000000-0010-0000-5D01-000002000000}" name="Column2"/>
  </tableColumns>
  <tableStyleInfo name="SEPTEMBER 2026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00000000-000C-0000-FFFF-FFFF5E010000}" name="Table_351" displayName="Table_351" ref="G167:H221" headerRowCount="0">
  <tableColumns count="2">
    <tableColumn id="1" xr3:uid="{00000000-0010-0000-5E01-000001000000}" name="Column1"/>
    <tableColumn id="2" xr3:uid="{00000000-0010-0000-5E01-000002000000}" name="Column2"/>
  </tableColumns>
  <tableStyleInfo name="SEPTEMBER 2026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00000000-000C-0000-FFFF-FFFF5F010000}" name="Table_352" displayName="Table_352" ref="I167:J221" headerRowCount="0">
  <tableColumns count="2">
    <tableColumn id="1" xr3:uid="{00000000-0010-0000-5F01-000001000000}" name="Column1"/>
    <tableColumn id="2" xr3:uid="{00000000-0010-0000-5F01-000002000000}" name="Column2"/>
  </tableColumns>
  <tableStyleInfo name="SEPTEMBER 2026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00000000-000C-0000-FFFF-FFFF60010000}" name="Table_353" displayName="Table_353" ref="K167:L221" headerRowCount="0">
  <tableColumns count="2">
    <tableColumn id="1" xr3:uid="{00000000-0010-0000-6001-000001000000}" name="Column1"/>
    <tableColumn id="2" xr3:uid="{00000000-0010-0000-6001-000002000000}" name="Column2"/>
  </tableColumns>
  <tableStyleInfo name="SEPTEMBER 2026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00000000-000C-0000-FFFF-FFFF61010000}" name="Table_354" displayName="Table_354" ref="M167:O221" headerRowCount="0">
  <tableColumns count="3">
    <tableColumn id="1" xr3:uid="{00000000-0010-0000-6101-000001000000}" name="Column1"/>
    <tableColumn id="2" xr3:uid="{00000000-0010-0000-6101-000002000000}" name="Column2"/>
    <tableColumn id="3" xr3:uid="{00000000-0010-0000-6101-000003000000}" name="Column3"/>
  </tableColumns>
  <tableStyleInfo name="SEPTEMBER 2026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00000000-000C-0000-FFFF-FFFF62010000}" name="Table_355" displayName="Table_355" ref="E222:F244" headerRowCount="0">
  <tableColumns count="2">
    <tableColumn id="1" xr3:uid="{00000000-0010-0000-6201-000001000000}" name="Column1"/>
    <tableColumn id="2" xr3:uid="{00000000-0010-0000-6201-000002000000}" name="Column2"/>
  </tableColumns>
  <tableStyleInfo name="SEPTEMBER 2026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xr:uid="{00000000-000C-0000-FFFF-FFFF63010000}" name="Table_356" displayName="Table_356" ref="G222:H244" headerRowCount="0">
  <tableColumns count="2">
    <tableColumn id="1" xr3:uid="{00000000-0010-0000-6301-000001000000}" name="Column1"/>
    <tableColumn id="2" xr3:uid="{00000000-0010-0000-6301-000002000000}" name="Column2"/>
  </tableColumns>
  <tableStyleInfo name="SEPTEMBER 2026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7" xr:uid="{00000000-000C-0000-FFFF-FFFF64010000}" name="Table_357" displayName="Table_357" ref="I222:J244" headerRowCount="0">
  <tableColumns count="2">
    <tableColumn id="1" xr3:uid="{00000000-0010-0000-6401-000001000000}" name="Column1"/>
    <tableColumn id="2" xr3:uid="{00000000-0010-0000-6401-000002000000}" name="Column2"/>
  </tableColumns>
  <tableStyleInfo name="SEPTEMBER 2026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xr:uid="{00000000-000C-0000-FFFF-FFFF65010000}" name="Table_358" displayName="Table_358" ref="K222:L232" headerRowCount="0">
  <tableColumns count="2">
    <tableColumn id="1" xr3:uid="{00000000-0010-0000-6501-000001000000}" name="Column1"/>
    <tableColumn id="2" xr3:uid="{00000000-0010-0000-6501-000002000000}" name="Column2"/>
  </tableColumns>
  <tableStyleInfo name="SEPTEMBER 2026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9" xr:uid="{00000000-000C-0000-FFFF-FFFF66010000}" name="Table_359" displayName="Table_359" ref="M222:N232" headerRowCount="0">
  <tableColumns count="2">
    <tableColumn id="1" xr3:uid="{00000000-0010-0000-6601-000001000000}" name="Column1"/>
    <tableColumn id="2" xr3:uid="{00000000-0010-0000-6601-000002000000}" name="Column2"/>
  </tableColumns>
  <tableStyleInfo name="SEPTEMBER 2026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xr:uid="{00000000-000C-0000-FFFF-FFFF67010000}" name="Table_360" displayName="Table_360" ref="K233" headerRowCount="0">
  <tableColumns count="1">
    <tableColumn id="1" xr3:uid="{00000000-0010-0000-6701-000001000000}" name="Column1"/>
  </tableColumns>
  <tableStyleInfo name="SEPTEMBER 2026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00000000-000C-0000-FFFF-FFFF68010000}" name="Table_361" displayName="Table_361" ref="M233" headerRowCount="0">
  <tableColumns count="1">
    <tableColumn id="1" xr3:uid="{00000000-0010-0000-6801-000001000000}" name="Column1"/>
  </tableColumns>
  <tableStyleInfo name="SEPTEMBER 2026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00000000-000C-0000-FFFF-FFFF69010000}" name="Table_362" displayName="Table_362" ref="K234:L309" headerRowCount="0">
  <tableColumns count="2">
    <tableColumn id="1" xr3:uid="{00000000-0010-0000-6901-000001000000}" name="Column1"/>
    <tableColumn id="2" xr3:uid="{00000000-0010-0000-6901-000002000000}" name="Column2"/>
  </tableColumns>
  <tableStyleInfo name="SEPTEMBER 2026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00000000-000C-0000-FFFF-FFFF6A010000}" name="Table_363" displayName="Table_363" ref="M234:N309" headerRowCount="0">
  <tableColumns count="2">
    <tableColumn id="1" xr3:uid="{00000000-0010-0000-6A01-000001000000}" name="Column1"/>
    <tableColumn id="2" xr3:uid="{00000000-0010-0000-6A01-000002000000}" name="Column2"/>
  </tableColumns>
  <tableStyleInfo name="SEPTEMBER 2026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00000000-000C-0000-FFFF-FFFF6B010000}" name="Table_364" displayName="Table_364" ref="E255" headerRowCount="0">
  <tableColumns count="1">
    <tableColumn id="1" xr3:uid="{00000000-0010-0000-6B01-000001000000}" name="Column1"/>
  </tableColumns>
  <tableStyleInfo name="SEPTEMBER 2026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00000000-000C-0000-FFFF-FFFF6C010000}" name="Table_365" displayName="Table_365" ref="G255" headerRowCount="0">
  <tableColumns count="1">
    <tableColumn id="1" xr3:uid="{00000000-0010-0000-6C01-000001000000}" name="Column1"/>
  </tableColumns>
  <tableStyleInfo name="SEPTEMBER 2026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00000000-000C-0000-FFFF-FFFF6D010000}" name="Table_366" displayName="Table_366" ref="I255:I256" headerRowCount="0">
  <tableColumns count="1">
    <tableColumn id="1" xr3:uid="{00000000-0010-0000-6D01-000001000000}" name="Column1"/>
  </tableColumns>
  <tableStyleInfo name="SEPTEMBER 2026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00000000-000C-0000-FFFF-FFFF6E010000}" name="Table_367" displayName="Table_367" ref="E266:E268" headerRowCount="0">
  <tableColumns count="1">
    <tableColumn id="1" xr3:uid="{00000000-0010-0000-6E01-000001000000}" name="Column1"/>
  </tableColumns>
  <tableStyleInfo name="SEPTEMBER 2026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xr:uid="{00000000-000C-0000-FFFF-FFFF6F010000}" name="Table_368" displayName="Table_368" ref="G266" headerRowCount="0">
  <tableColumns count="1">
    <tableColumn id="1" xr3:uid="{00000000-0010-0000-6F01-000001000000}" name="Column1"/>
  </tableColumns>
  <tableStyleInfo name="SEPTEMBER 2026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xr:uid="{00000000-000C-0000-FFFF-FFFF70010000}" name="Table_369" displayName="Table_369" ref="I266" headerRowCount="0">
  <tableColumns count="1">
    <tableColumn id="1" xr3:uid="{00000000-0010-0000-7001-000001000000}" name="Column1"/>
  </tableColumns>
  <tableStyleInfo name="SEPTEMBER 2026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00000000-000C-0000-FFFF-FFFF71010000}" name="Table_370" displayName="Table_370" ref="E277:E280" headerRowCount="0">
  <tableColumns count="1">
    <tableColumn id="1" xr3:uid="{00000000-0010-0000-7101-000001000000}" name="Column1"/>
  </tableColumns>
  <tableStyleInfo name="SEPTEMBER 2026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xr:uid="{00000000-000C-0000-FFFF-FFFF72010000}" name="Table_371" displayName="Table_371" ref="G277" headerRowCount="0">
  <tableColumns count="1">
    <tableColumn id="1" xr3:uid="{00000000-0010-0000-7201-000001000000}" name="Column1"/>
  </tableColumns>
  <tableStyleInfo name="SEPTEMBER 2026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xr:uid="{00000000-000C-0000-FFFF-FFFF73010000}" name="Table_372" displayName="Table_372" ref="I277:I278" headerRowCount="0">
  <tableColumns count="1">
    <tableColumn id="1" xr3:uid="{00000000-0010-0000-7301-000001000000}" name="Column1"/>
  </tableColumns>
  <tableStyleInfo name="SEPTEMBER 2026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xr:uid="{00000000-000C-0000-FFFF-FFFF74010000}" name="Table_373" displayName="Table_373" ref="E288:E294" headerRowCount="0">
  <tableColumns count="1">
    <tableColumn id="1" xr3:uid="{00000000-0010-0000-7401-000001000000}" name="Column1"/>
  </tableColumns>
  <tableStyleInfo name="SEPTEMBER 2026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xr:uid="{00000000-000C-0000-FFFF-FFFF75010000}" name="Table_374" displayName="Table_374" ref="G288" headerRowCount="0">
  <tableColumns count="1">
    <tableColumn id="1" xr3:uid="{00000000-0010-0000-7501-000001000000}" name="Column1"/>
  </tableColumns>
  <tableStyleInfo name="SEPTEMBER 2026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xr:uid="{00000000-000C-0000-FFFF-FFFF76010000}" name="Table_375" displayName="Table_375" ref="I288" headerRowCount="0">
  <tableColumns count="1">
    <tableColumn id="1" xr3:uid="{00000000-0010-0000-7601-000001000000}" name="Column1"/>
  </tableColumns>
  <tableStyleInfo name="SEPTEMBER 2026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6" xr:uid="{00000000-000C-0000-FFFF-FFFF77010000}" name="Table_376" displayName="Table_376" ref="E299:E303" headerRowCount="0">
  <tableColumns count="1">
    <tableColumn id="1" xr3:uid="{00000000-0010-0000-7701-000001000000}" name="Column1"/>
  </tableColumns>
  <tableStyleInfo name="SEPTEMBER 2026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7" xr:uid="{00000000-000C-0000-FFFF-FFFF78010000}" name="Table_377" displayName="Table_377" ref="G299" headerRowCount="0">
  <tableColumns count="1">
    <tableColumn id="1" xr3:uid="{00000000-0010-0000-7801-000001000000}" name="Column1"/>
  </tableColumns>
  <tableStyleInfo name="SEPTEMBER 2026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8" xr:uid="{00000000-000C-0000-FFFF-FFFF79010000}" name="Table_378" displayName="Table_378" ref="I299:I300" headerRowCount="0">
  <tableColumns count="1">
    <tableColumn id="1" xr3:uid="{00000000-0010-0000-7901-000001000000}" name="Column1"/>
  </tableColumns>
  <tableStyleInfo name="SEPTEMBER 2026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9" xr:uid="{00000000-000C-0000-FFFF-FFFF7A010000}" name="Table_379" displayName="Table_379" ref="E310" headerRowCount="0">
  <tableColumns count="1">
    <tableColumn id="1" xr3:uid="{00000000-0010-0000-7A01-000001000000}" name="Column1"/>
  </tableColumns>
  <tableStyleInfo name="SEPTEMBER 2026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xr:uid="{00000000-000C-0000-FFFF-FFFF7B010000}" name="Table_380" displayName="Table_380" ref="G310" headerRowCount="0">
  <tableColumns count="1">
    <tableColumn id="1" xr3:uid="{00000000-0010-0000-7B01-000001000000}" name="Column1"/>
  </tableColumns>
  <tableStyleInfo name="SEPTEMBER 2026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1" xr:uid="{00000000-000C-0000-FFFF-FFFF7C010000}" name="Table_381" displayName="Table_381" ref="I310" headerRowCount="0">
  <tableColumns count="1">
    <tableColumn id="1" xr3:uid="{00000000-0010-0000-7C01-000001000000}" name="Column1"/>
  </tableColumns>
  <tableStyleInfo name="SEPTEMBER 2026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2" xr:uid="{00000000-000C-0000-FFFF-FFFF7D010000}" name="Table_382" displayName="Table_382" ref="K310:K331" headerRowCount="0">
  <tableColumns count="1">
    <tableColumn id="1" xr3:uid="{00000000-0010-0000-7D01-000001000000}" name="Column1"/>
  </tableColumns>
  <tableStyleInfo name="SEPTEMBER 2026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3" xr:uid="{00000000-000C-0000-FFFF-FFFF7E010000}" name="Table_383" displayName="Table_383" ref="M310:M331" headerRowCount="0">
  <tableColumns count="1">
    <tableColumn id="1" xr3:uid="{00000000-0010-0000-7E01-000001000000}" name="Column1"/>
  </tableColumns>
  <tableStyleInfo name="SEPTEMBER 2026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4" xr:uid="{00000000-000C-0000-FFFF-FFFF7F010000}" name="Table_384" displayName="Table_384" ref="E321" headerRowCount="0">
  <tableColumns count="1">
    <tableColumn id="1" xr3:uid="{00000000-0010-0000-7F01-000001000000}" name="Column1"/>
  </tableColumns>
  <tableStyleInfo name="SEPTEMBER 2026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5" xr:uid="{00000000-000C-0000-FFFF-FFFF80010000}" name="Table_385" displayName="Table_385" ref="G321" headerRowCount="0">
  <tableColumns count="1">
    <tableColumn id="1" xr3:uid="{00000000-0010-0000-8001-000001000000}" name="Column1"/>
  </tableColumns>
  <tableStyleInfo name="SEPTEMBER 2026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6" xr:uid="{00000000-000C-0000-FFFF-FFFF81010000}" name="Table_386" displayName="Table_386" ref="I321" headerRowCount="0">
  <tableColumns count="1">
    <tableColumn id="1" xr3:uid="{00000000-0010-0000-8101-000001000000}" name="Column1"/>
  </tableColumns>
  <tableStyleInfo name="SEPTEMBER 2026-style 4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47" Type="http://schemas.openxmlformats.org/officeDocument/2006/relationships/comments" Target="../comments1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9" Type="http://schemas.openxmlformats.org/officeDocument/2006/relationships/table" Target="../tables/table28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46" Type="http://schemas.openxmlformats.org/officeDocument/2006/relationships/table" Target="../tables/table45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331"/>
  <sheetViews>
    <sheetView tabSelected="1" workbookViewId="0">
      <pane ySplit="1" topLeftCell="A2" activePane="bottomLeft" state="frozen"/>
      <selection pane="bottomLeft" activeCell="A189" sqref="A189:A199"/>
    </sheetView>
  </sheetViews>
  <sheetFormatPr defaultColWidth="12.5703125" defaultRowHeight="15.75" customHeight="1" x14ac:dyDescent="0.2"/>
  <sheetData>
    <row r="1" spans="1:26" ht="15.75" customHeight="1" x14ac:dyDescent="0.25">
      <c r="A1" s="7"/>
      <c r="B1" s="3"/>
      <c r="C1" s="20" t="s">
        <v>0</v>
      </c>
      <c r="D1" s="19"/>
      <c r="E1" s="20" t="s">
        <v>1</v>
      </c>
      <c r="F1" s="19"/>
      <c r="G1" s="20" t="s">
        <v>2</v>
      </c>
      <c r="H1" s="19"/>
      <c r="I1" s="20" t="s">
        <v>22</v>
      </c>
      <c r="J1" s="19"/>
      <c r="K1" s="20" t="s">
        <v>23</v>
      </c>
      <c r="L1" s="19"/>
      <c r="M1" s="20" t="s">
        <v>24</v>
      </c>
      <c r="N1" s="19"/>
      <c r="O1" s="21" t="s">
        <v>9</v>
      </c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25">
      <c r="A2" s="35">
        <v>46266</v>
      </c>
      <c r="B2" s="1" t="s">
        <v>25</v>
      </c>
      <c r="C2" s="8">
        <v>1100</v>
      </c>
      <c r="D2" s="8"/>
      <c r="E2" s="8">
        <v>100</v>
      </c>
      <c r="G2" s="8"/>
      <c r="I2" s="8"/>
      <c r="K2" s="8"/>
      <c r="L2" s="8"/>
      <c r="M2" s="8"/>
      <c r="N2" s="8"/>
      <c r="O2" s="8"/>
    </row>
    <row r="3" spans="1:26" ht="15.75" customHeight="1" x14ac:dyDescent="0.25">
      <c r="A3" s="31"/>
      <c r="B3" s="2" t="s">
        <v>15</v>
      </c>
      <c r="C3" s="9">
        <v>2700</v>
      </c>
      <c r="D3" s="9"/>
      <c r="E3" s="9">
        <v>2200</v>
      </c>
      <c r="G3" s="9"/>
      <c r="I3" s="9">
        <v>1000</v>
      </c>
      <c r="K3" s="9"/>
      <c r="L3" s="9"/>
      <c r="M3" s="9"/>
      <c r="N3" s="9"/>
      <c r="O3" s="9"/>
    </row>
    <row r="4" spans="1:26" ht="15.75" customHeight="1" x14ac:dyDescent="0.25">
      <c r="A4" s="31"/>
      <c r="B4" s="1" t="s">
        <v>11</v>
      </c>
      <c r="C4" s="11">
        <v>10400</v>
      </c>
      <c r="D4" s="8"/>
      <c r="E4" s="11">
        <v>5500</v>
      </c>
      <c r="G4" s="8"/>
      <c r="I4" s="8"/>
      <c r="K4" s="8"/>
      <c r="L4" s="8"/>
      <c r="M4" s="8"/>
      <c r="N4" s="8"/>
      <c r="O4" s="8"/>
      <c r="Q4" s="14"/>
      <c r="R4" s="14"/>
    </row>
    <row r="5" spans="1:26" ht="15.75" customHeight="1" x14ac:dyDescent="0.25">
      <c r="A5" s="31"/>
      <c r="B5" s="2" t="s">
        <v>10</v>
      </c>
      <c r="C5" s="10">
        <v>5200</v>
      </c>
      <c r="D5" s="9"/>
      <c r="E5" s="10">
        <v>2000</v>
      </c>
      <c r="G5" s="10"/>
      <c r="I5" s="10">
        <v>2000</v>
      </c>
      <c r="K5" s="10"/>
      <c r="L5" s="9"/>
      <c r="M5" s="10"/>
      <c r="N5" s="9"/>
      <c r="O5" s="9"/>
      <c r="Q5" s="14"/>
      <c r="R5" s="14"/>
    </row>
    <row r="6" spans="1:26" ht="15.75" customHeight="1" x14ac:dyDescent="0.25">
      <c r="A6" s="31"/>
      <c r="B6" s="1" t="s">
        <v>12</v>
      </c>
      <c r="C6" s="8">
        <v>4000</v>
      </c>
      <c r="D6" s="8"/>
      <c r="E6" s="8">
        <v>2100</v>
      </c>
      <c r="G6" s="8"/>
      <c r="I6" s="8">
        <v>1100</v>
      </c>
      <c r="K6" s="8"/>
      <c r="L6" s="8"/>
      <c r="M6" s="8"/>
      <c r="N6" s="8"/>
      <c r="O6" s="8"/>
    </row>
    <row r="7" spans="1:26" ht="15.75" customHeight="1" x14ac:dyDescent="0.25">
      <c r="A7" s="31"/>
      <c r="B7" s="2" t="s">
        <v>14</v>
      </c>
      <c r="C7" s="10">
        <v>2100</v>
      </c>
      <c r="D7" s="9"/>
      <c r="E7" s="10">
        <v>7400</v>
      </c>
      <c r="G7" s="10"/>
      <c r="I7" s="10">
        <v>2000</v>
      </c>
      <c r="K7" s="10"/>
      <c r="L7" s="9"/>
      <c r="M7" s="10"/>
      <c r="N7" s="9"/>
      <c r="O7" s="9"/>
    </row>
    <row r="8" spans="1:26" ht="15.75" customHeight="1" x14ac:dyDescent="0.25">
      <c r="A8" s="31"/>
      <c r="B8" s="1" t="s">
        <v>13</v>
      </c>
      <c r="C8" s="8"/>
      <c r="D8" s="8"/>
      <c r="E8" s="8"/>
      <c r="G8" s="8"/>
      <c r="I8" s="8"/>
      <c r="K8" s="8"/>
      <c r="L8" s="8"/>
      <c r="M8" s="8"/>
      <c r="N8" s="8"/>
      <c r="O8" s="8"/>
    </row>
    <row r="9" spans="1:26" ht="15.75" customHeight="1" x14ac:dyDescent="0.25">
      <c r="A9" s="31"/>
      <c r="B9" s="2"/>
      <c r="C9" s="9"/>
      <c r="D9" s="9"/>
      <c r="E9" s="9"/>
      <c r="G9" s="9"/>
      <c r="I9" s="9"/>
      <c r="K9" s="9"/>
      <c r="L9" s="9"/>
      <c r="M9" s="9"/>
      <c r="N9" s="9"/>
      <c r="O9" s="9"/>
    </row>
    <row r="10" spans="1:26" ht="15.75" customHeight="1" x14ac:dyDescent="0.25">
      <c r="A10" s="24">
        <f t="shared" ref="A10:A12" si="0">SUM(C10,E10,G10,I10,L10,K10,M10)</f>
        <v>50900</v>
      </c>
      <c r="B10" s="1" t="s">
        <v>5</v>
      </c>
      <c r="C10" s="4">
        <f>SUM(C2:C9)</f>
        <v>25500</v>
      </c>
      <c r="D10" s="1" t="s">
        <v>6</v>
      </c>
      <c r="E10" s="4">
        <f>SUM(E2:E9)</f>
        <v>19300</v>
      </c>
      <c r="F10" s="1">
        <v>19200</v>
      </c>
      <c r="G10" s="4">
        <f>SUM(G2:G9)</f>
        <v>0</v>
      </c>
      <c r="H10" s="1" t="s">
        <v>6</v>
      </c>
      <c r="I10" s="4">
        <f>SUM(I2:I9)</f>
        <v>6100</v>
      </c>
      <c r="J10" s="1" t="s">
        <v>6</v>
      </c>
      <c r="K10" s="4">
        <f>SUM(K2:K9)</f>
        <v>0</v>
      </c>
      <c r="L10" s="1" t="s">
        <v>6</v>
      </c>
      <c r="M10" s="4">
        <f>SUM(M2:M9)</f>
        <v>0</v>
      </c>
      <c r="N10" s="1" t="s">
        <v>6</v>
      </c>
      <c r="O10" s="1"/>
    </row>
    <row r="11" spans="1:26" ht="15.75" customHeight="1" x14ac:dyDescent="0.25">
      <c r="A11" s="24">
        <f t="shared" si="0"/>
        <v>46830.74</v>
      </c>
      <c r="B11" s="2" t="s">
        <v>7</v>
      </c>
      <c r="C11" s="5">
        <v>2920</v>
      </c>
      <c r="D11" s="2" t="s">
        <v>6</v>
      </c>
      <c r="E11" s="5">
        <v>43910.74</v>
      </c>
      <c r="F11" s="2" t="s">
        <v>6</v>
      </c>
      <c r="G11" s="5"/>
      <c r="H11" s="2" t="s">
        <v>6</v>
      </c>
      <c r="I11" s="5"/>
      <c r="J11" s="2" t="s">
        <v>6</v>
      </c>
      <c r="K11" s="5"/>
      <c r="L11" s="2" t="s">
        <v>6</v>
      </c>
      <c r="M11" s="5"/>
      <c r="N11" s="2" t="s">
        <v>6</v>
      </c>
      <c r="O11" s="2"/>
    </row>
    <row r="12" spans="1:26" ht="15.75" customHeight="1" x14ac:dyDescent="0.25">
      <c r="A12" s="24">
        <f t="shared" si="0"/>
        <v>4069.260000000002</v>
      </c>
      <c r="B12" s="1" t="s">
        <v>8</v>
      </c>
      <c r="C12" s="6">
        <f>C10-C11</f>
        <v>22580</v>
      </c>
      <c r="D12" s="1" t="s">
        <v>6</v>
      </c>
      <c r="E12" s="6">
        <f>E10-E11</f>
        <v>-24610.739999999998</v>
      </c>
      <c r="F12" s="1"/>
      <c r="G12" s="6">
        <f>G10-G11</f>
        <v>0</v>
      </c>
      <c r="H12" s="1" t="s">
        <v>6</v>
      </c>
      <c r="I12" s="6">
        <f>I10-I11</f>
        <v>6100</v>
      </c>
      <c r="J12" s="1" t="s">
        <v>6</v>
      </c>
      <c r="K12" s="6">
        <f>K10-K11</f>
        <v>0</v>
      </c>
      <c r="L12" s="1" t="s">
        <v>6</v>
      </c>
      <c r="M12" s="6">
        <f>M10-M11</f>
        <v>0</v>
      </c>
      <c r="N12" s="1" t="s">
        <v>6</v>
      </c>
      <c r="O12" s="1"/>
      <c r="P12" s="14"/>
      <c r="Q12" s="14"/>
    </row>
    <row r="13" spans="1:26" ht="15.75" customHeight="1" x14ac:dyDescent="0.25">
      <c r="A13" s="35">
        <v>46267</v>
      </c>
      <c r="B13" s="2" t="s">
        <v>15</v>
      </c>
      <c r="C13" s="9">
        <v>3300</v>
      </c>
      <c r="D13" s="9"/>
      <c r="E13" s="9">
        <v>2000</v>
      </c>
      <c r="G13" s="9"/>
      <c r="I13" s="9">
        <v>3600</v>
      </c>
      <c r="K13" s="9"/>
      <c r="L13" s="9"/>
      <c r="M13" s="9"/>
      <c r="N13" s="9"/>
      <c r="O13" s="9"/>
      <c r="P13" s="14"/>
      <c r="Q13" s="14"/>
    </row>
    <row r="14" spans="1:26" ht="15.75" customHeight="1" x14ac:dyDescent="0.25">
      <c r="A14" s="31"/>
      <c r="B14" s="1" t="s">
        <v>11</v>
      </c>
      <c r="C14" s="8">
        <v>7700</v>
      </c>
      <c r="D14" s="8"/>
      <c r="E14" s="8">
        <v>2300</v>
      </c>
      <c r="G14" s="8"/>
      <c r="I14" s="8">
        <v>1000</v>
      </c>
      <c r="K14" s="8"/>
      <c r="L14" s="8"/>
      <c r="M14" s="8"/>
      <c r="N14" s="8"/>
      <c r="O14" s="8"/>
    </row>
    <row r="15" spans="1:26" ht="15.75" customHeight="1" x14ac:dyDescent="0.25">
      <c r="A15" s="31"/>
      <c r="B15" s="2" t="s">
        <v>12</v>
      </c>
      <c r="C15" s="9">
        <v>6500</v>
      </c>
      <c r="D15" s="9"/>
      <c r="E15" s="9">
        <v>5700</v>
      </c>
      <c r="G15" s="9"/>
      <c r="I15" s="9"/>
      <c r="K15" s="9"/>
      <c r="L15" s="9"/>
      <c r="M15" s="9"/>
      <c r="N15" s="9"/>
      <c r="O15" s="9"/>
    </row>
    <row r="16" spans="1:26" ht="15.75" customHeight="1" x14ac:dyDescent="0.25">
      <c r="A16" s="31"/>
      <c r="B16" s="1" t="s">
        <v>13</v>
      </c>
      <c r="C16" s="11">
        <v>11600</v>
      </c>
      <c r="D16" s="8"/>
      <c r="E16" s="11">
        <v>5200</v>
      </c>
      <c r="G16" s="11"/>
      <c r="I16" s="11"/>
      <c r="K16" s="11"/>
      <c r="L16" s="8"/>
      <c r="M16" s="11"/>
      <c r="N16" s="8"/>
      <c r="O16" s="8"/>
      <c r="P16" s="14" t="s">
        <v>21</v>
      </c>
      <c r="Q16" s="14"/>
    </row>
    <row r="17" spans="1:17" ht="15.75" customHeight="1" x14ac:dyDescent="0.25">
      <c r="A17" s="31"/>
      <c r="B17" s="2" t="s">
        <v>10</v>
      </c>
      <c r="C17" s="9"/>
      <c r="D17" s="9"/>
      <c r="E17" s="9"/>
      <c r="G17" s="9"/>
      <c r="I17" s="9"/>
      <c r="K17" s="9"/>
      <c r="L17" s="9"/>
      <c r="M17" s="9"/>
      <c r="N17" s="9"/>
      <c r="O17" s="9"/>
      <c r="P17" s="14">
        <v>2750</v>
      </c>
      <c r="Q17" s="14"/>
    </row>
    <row r="18" spans="1:17" ht="15.75" customHeight="1" x14ac:dyDescent="0.25">
      <c r="A18" s="31"/>
      <c r="B18" s="1" t="s">
        <v>12</v>
      </c>
      <c r="C18" s="11"/>
      <c r="D18" s="8"/>
      <c r="E18" s="11"/>
      <c r="G18" s="11"/>
      <c r="I18" s="11"/>
      <c r="K18" s="11"/>
      <c r="L18" s="8"/>
      <c r="M18" s="11"/>
      <c r="N18" s="8"/>
      <c r="O18" s="8"/>
    </row>
    <row r="19" spans="1:17" ht="15.75" customHeight="1" x14ac:dyDescent="0.25">
      <c r="A19" s="31"/>
      <c r="B19" s="2" t="s">
        <v>14</v>
      </c>
      <c r="C19" s="9"/>
      <c r="D19" s="9"/>
      <c r="E19" s="9"/>
      <c r="G19" s="9"/>
      <c r="I19" s="9"/>
      <c r="K19" s="9"/>
      <c r="L19" s="9"/>
      <c r="M19" s="9"/>
      <c r="N19" s="9"/>
      <c r="O19" s="9"/>
    </row>
    <row r="20" spans="1:17" ht="15.75" customHeight="1" x14ac:dyDescent="0.25">
      <c r="A20" s="31"/>
      <c r="B20" s="1"/>
      <c r="C20" s="8"/>
      <c r="D20" s="8"/>
      <c r="E20" s="8"/>
      <c r="G20" s="8"/>
      <c r="I20" s="8"/>
      <c r="K20" s="8"/>
      <c r="L20" s="8"/>
      <c r="M20" s="8"/>
      <c r="N20" s="8"/>
      <c r="O20" s="8"/>
    </row>
    <row r="21" spans="1:17" ht="15.75" customHeight="1" x14ac:dyDescent="0.25">
      <c r="A21" s="24">
        <f t="shared" ref="A21:A23" si="1">SUM(C21,E21,G21,I21,L20,K21,M21)</f>
        <v>48900</v>
      </c>
      <c r="B21" s="2" t="s">
        <v>5</v>
      </c>
      <c r="C21" s="4">
        <f>SUM(C13:C20)</f>
        <v>29100</v>
      </c>
      <c r="D21" s="2" t="s">
        <v>6</v>
      </c>
      <c r="E21" s="4">
        <f>SUM(E13:E20)</f>
        <v>15200</v>
      </c>
      <c r="F21" s="2" t="s">
        <v>6</v>
      </c>
      <c r="G21" s="4">
        <f>SUM(G13:G20)</f>
        <v>0</v>
      </c>
      <c r="H21" s="2" t="s">
        <v>6</v>
      </c>
      <c r="I21" s="4">
        <f>SUM(I13:I20)</f>
        <v>4600</v>
      </c>
      <c r="J21" s="2" t="s">
        <v>6</v>
      </c>
      <c r="K21" s="4">
        <f>SUM(K13:K20)</f>
        <v>0</v>
      </c>
      <c r="L21" s="2" t="s">
        <v>6</v>
      </c>
      <c r="M21" s="4">
        <f>SUM(M13:M20)</f>
        <v>0</v>
      </c>
      <c r="N21" s="2" t="s">
        <v>6</v>
      </c>
      <c r="O21" s="2"/>
    </row>
    <row r="22" spans="1:17" ht="15.75" customHeight="1" x14ac:dyDescent="0.25">
      <c r="A22" s="24">
        <f t="shared" si="1"/>
        <v>3153</v>
      </c>
      <c r="B22" s="1" t="s">
        <v>7</v>
      </c>
      <c r="C22" s="5">
        <v>2754</v>
      </c>
      <c r="D22" s="1" t="s">
        <v>6</v>
      </c>
      <c r="E22" s="5">
        <v>399</v>
      </c>
      <c r="F22" s="1" t="s">
        <v>6</v>
      </c>
      <c r="G22" s="5"/>
      <c r="H22" s="1" t="s">
        <v>6</v>
      </c>
      <c r="I22" s="5"/>
      <c r="J22" s="1" t="s">
        <v>6</v>
      </c>
      <c r="K22" s="5"/>
      <c r="L22" s="1" t="s">
        <v>6</v>
      </c>
      <c r="M22" s="5"/>
      <c r="N22" s="1" t="s">
        <v>6</v>
      </c>
      <c r="O22" s="1"/>
    </row>
    <row r="23" spans="1:17" ht="15.75" customHeight="1" x14ac:dyDescent="0.25">
      <c r="A23" s="24">
        <f t="shared" si="1"/>
        <v>45747</v>
      </c>
      <c r="B23" s="2" t="s">
        <v>8</v>
      </c>
      <c r="C23" s="6">
        <f>C21-C22</f>
        <v>26346</v>
      </c>
      <c r="D23" s="2" t="s">
        <v>6</v>
      </c>
      <c r="E23" s="6">
        <f>E21-E22</f>
        <v>14801</v>
      </c>
      <c r="F23" s="2" t="s">
        <v>6</v>
      </c>
      <c r="G23" s="6">
        <f>G21-G22</f>
        <v>0</v>
      </c>
      <c r="H23" s="2" t="s">
        <v>6</v>
      </c>
      <c r="I23" s="6">
        <f>I21-I22</f>
        <v>4600</v>
      </c>
      <c r="J23" s="2" t="s">
        <v>6</v>
      </c>
      <c r="K23" s="6">
        <f>K21-K22</f>
        <v>0</v>
      </c>
      <c r="L23" s="2" t="s">
        <v>6</v>
      </c>
      <c r="M23" s="6">
        <f>M21-M22</f>
        <v>0</v>
      </c>
      <c r="N23" s="2" t="s">
        <v>6</v>
      </c>
      <c r="O23" s="2"/>
    </row>
    <row r="24" spans="1:17" ht="15.75" customHeight="1" x14ac:dyDescent="0.25">
      <c r="A24" s="36">
        <v>46268</v>
      </c>
      <c r="B24" s="1" t="s">
        <v>15</v>
      </c>
      <c r="C24" s="8">
        <v>6300</v>
      </c>
      <c r="D24" s="8"/>
      <c r="E24" s="8">
        <v>2100</v>
      </c>
      <c r="G24" s="8"/>
      <c r="I24" s="8">
        <v>9000</v>
      </c>
      <c r="K24" s="8"/>
      <c r="L24" s="8"/>
      <c r="M24" s="8"/>
      <c r="N24" s="8"/>
      <c r="O24" s="8"/>
    </row>
    <row r="25" spans="1:17" ht="15.75" customHeight="1" x14ac:dyDescent="0.25">
      <c r="A25" s="31"/>
      <c r="B25" s="2" t="s">
        <v>4</v>
      </c>
      <c r="C25" s="9">
        <v>8000</v>
      </c>
      <c r="D25" s="9"/>
      <c r="E25" s="9">
        <v>10200</v>
      </c>
      <c r="G25" s="9"/>
      <c r="I25" s="9"/>
      <c r="K25" s="9"/>
      <c r="L25" s="9"/>
      <c r="M25" s="9"/>
      <c r="N25" s="9"/>
      <c r="O25" s="9"/>
    </row>
    <row r="26" spans="1:17" ht="15.75" customHeight="1" x14ac:dyDescent="0.25">
      <c r="A26" s="31"/>
      <c r="B26" s="1" t="s">
        <v>11</v>
      </c>
      <c r="C26" s="8">
        <v>4200</v>
      </c>
      <c r="D26" s="8"/>
      <c r="E26" s="8">
        <v>1000</v>
      </c>
      <c r="G26" s="8"/>
      <c r="I26" s="8">
        <v>4900</v>
      </c>
      <c r="K26" s="8"/>
      <c r="L26" s="8"/>
      <c r="M26" s="8"/>
      <c r="N26" s="8"/>
      <c r="O26" s="8"/>
    </row>
    <row r="27" spans="1:17" ht="15.75" customHeight="1" x14ac:dyDescent="0.25">
      <c r="A27" s="31"/>
      <c r="B27" s="2" t="s">
        <v>13</v>
      </c>
      <c r="C27" s="10">
        <v>4000</v>
      </c>
      <c r="D27" s="9"/>
      <c r="E27" s="10">
        <v>8100</v>
      </c>
      <c r="G27" s="10"/>
      <c r="I27" s="10">
        <v>1000</v>
      </c>
      <c r="K27" s="10"/>
      <c r="L27" s="9"/>
      <c r="M27" s="10"/>
      <c r="N27" s="9"/>
      <c r="O27" s="9"/>
    </row>
    <row r="28" spans="1:17" ht="15.75" customHeight="1" x14ac:dyDescent="0.25">
      <c r="A28" s="31"/>
      <c r="B28" s="1" t="s">
        <v>12</v>
      </c>
      <c r="C28" s="8">
        <v>5000</v>
      </c>
      <c r="D28" s="8"/>
      <c r="E28" s="8">
        <v>500</v>
      </c>
      <c r="G28" s="8"/>
      <c r="I28" s="8"/>
      <c r="K28" s="8"/>
      <c r="L28" s="8"/>
      <c r="M28" s="8">
        <v>3500</v>
      </c>
      <c r="N28" s="8"/>
      <c r="O28" s="8"/>
    </row>
    <row r="29" spans="1:17" ht="15.75" customHeight="1" x14ac:dyDescent="0.25">
      <c r="A29" s="31"/>
      <c r="B29" s="2"/>
      <c r="C29" s="10"/>
      <c r="D29" s="9"/>
      <c r="E29" s="10"/>
      <c r="G29" s="10"/>
      <c r="I29" s="10"/>
      <c r="K29" s="10"/>
      <c r="L29" s="9"/>
      <c r="M29" s="10"/>
      <c r="N29" s="9"/>
      <c r="O29" s="9"/>
    </row>
    <row r="30" spans="1:17" ht="15.75" customHeight="1" x14ac:dyDescent="0.25">
      <c r="A30" s="31"/>
      <c r="B30" s="1"/>
      <c r="C30" s="8"/>
      <c r="D30" s="8"/>
      <c r="E30" s="8"/>
      <c r="G30" s="8"/>
      <c r="I30" s="8"/>
      <c r="K30" s="8"/>
      <c r="L30" s="8"/>
      <c r="M30" s="8"/>
      <c r="N30" s="8"/>
      <c r="O30" s="8"/>
    </row>
    <row r="31" spans="1:17" ht="15.75" customHeight="1" x14ac:dyDescent="0.25">
      <c r="A31" s="31"/>
      <c r="B31" s="2"/>
      <c r="C31" s="9"/>
      <c r="D31" s="9"/>
      <c r="E31" s="9"/>
      <c r="G31" s="9"/>
      <c r="I31" s="9"/>
      <c r="K31" s="9"/>
      <c r="L31" s="9"/>
      <c r="M31" s="9"/>
      <c r="N31" s="9"/>
      <c r="O31" s="9"/>
    </row>
    <row r="32" spans="1:17" ht="15.75" customHeight="1" x14ac:dyDescent="0.25">
      <c r="A32" s="25">
        <f t="shared" ref="A32:A34" si="2">SUM(C32,E32,G32,I32,L32,K32,M32)</f>
        <v>67800</v>
      </c>
      <c r="B32" s="1" t="s">
        <v>5</v>
      </c>
      <c r="C32" s="4">
        <f>SUM(C24:C31)</f>
        <v>27500</v>
      </c>
      <c r="D32" s="1">
        <v>28500</v>
      </c>
      <c r="E32" s="4">
        <f>SUM(E24:E31)</f>
        <v>21900</v>
      </c>
      <c r="F32" s="18">
        <v>20900</v>
      </c>
      <c r="G32" s="4">
        <f>SUM(G24:G31)</f>
        <v>0</v>
      </c>
      <c r="H32" s="1" t="s">
        <v>6</v>
      </c>
      <c r="I32" s="4">
        <f>SUM(I24:I31)</f>
        <v>14900</v>
      </c>
      <c r="J32" s="1" t="s">
        <v>6</v>
      </c>
      <c r="K32" s="4">
        <f>SUM(K24:K31)</f>
        <v>0</v>
      </c>
      <c r="L32" s="1" t="s">
        <v>6</v>
      </c>
      <c r="M32" s="4">
        <f>SUM(M24:M31)</f>
        <v>3500</v>
      </c>
      <c r="N32" s="1" t="s">
        <v>6</v>
      </c>
      <c r="O32" s="1"/>
    </row>
    <row r="33" spans="1:15" ht="15.75" customHeight="1" x14ac:dyDescent="0.25">
      <c r="A33" s="25">
        <f t="shared" si="2"/>
        <v>500</v>
      </c>
      <c r="B33" s="2" t="s">
        <v>7</v>
      </c>
      <c r="C33" s="5">
        <v>500</v>
      </c>
      <c r="D33" s="2" t="s">
        <v>6</v>
      </c>
      <c r="E33" s="5"/>
      <c r="F33" s="2" t="s">
        <v>6</v>
      </c>
      <c r="G33" s="5"/>
      <c r="H33" s="2" t="s">
        <v>6</v>
      </c>
      <c r="I33" s="5"/>
      <c r="J33" s="2" t="s">
        <v>6</v>
      </c>
      <c r="K33" s="5"/>
      <c r="L33" s="2" t="s">
        <v>6</v>
      </c>
      <c r="M33" s="5"/>
      <c r="N33" s="2" t="s">
        <v>6</v>
      </c>
      <c r="O33" s="2"/>
    </row>
    <row r="34" spans="1:15" ht="15.75" customHeight="1" x14ac:dyDescent="0.25">
      <c r="A34" s="25">
        <f t="shared" si="2"/>
        <v>67300</v>
      </c>
      <c r="B34" s="1" t="s">
        <v>8</v>
      </c>
      <c r="C34" s="6">
        <f>C32-C33</f>
        <v>27000</v>
      </c>
      <c r="D34" s="1"/>
      <c r="E34" s="6">
        <f>E32-E33</f>
        <v>21900</v>
      </c>
      <c r="G34" s="6">
        <f>G32-G33</f>
        <v>0</v>
      </c>
      <c r="H34" s="1" t="s">
        <v>6</v>
      </c>
      <c r="I34" s="6">
        <f>I32-I33</f>
        <v>14900</v>
      </c>
      <c r="J34" s="1" t="s">
        <v>6</v>
      </c>
      <c r="K34" s="6">
        <f>K32-K33</f>
        <v>0</v>
      </c>
      <c r="L34" s="1" t="s">
        <v>6</v>
      </c>
      <c r="M34" s="6">
        <f>M32-M33</f>
        <v>3500</v>
      </c>
      <c r="N34" s="1" t="s">
        <v>6</v>
      </c>
      <c r="O34" s="1"/>
    </row>
    <row r="35" spans="1:15" ht="15.75" customHeight="1" x14ac:dyDescent="0.25">
      <c r="A35" s="35">
        <v>46269</v>
      </c>
      <c r="B35" s="2" t="s">
        <v>15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ht="15.75" customHeight="1" x14ac:dyDescent="0.25">
      <c r="A36" s="31"/>
      <c r="B36" s="1" t="s">
        <v>18</v>
      </c>
      <c r="C36" s="8">
        <v>3000</v>
      </c>
      <c r="D36" s="8"/>
      <c r="E36" s="8"/>
      <c r="F36" s="8"/>
      <c r="G36" s="8"/>
      <c r="H36" s="8"/>
      <c r="I36" s="8">
        <v>3100</v>
      </c>
      <c r="J36" s="8"/>
      <c r="K36" s="8"/>
      <c r="L36" s="8"/>
      <c r="M36" s="8"/>
      <c r="N36" s="8"/>
      <c r="O36" s="8"/>
    </row>
    <row r="37" spans="1:15" ht="15.75" customHeight="1" x14ac:dyDescent="0.25">
      <c r="A37" s="31"/>
      <c r="B37" s="2" t="s">
        <v>12</v>
      </c>
      <c r="C37" s="9">
        <v>12400</v>
      </c>
      <c r="D37" s="9"/>
      <c r="E37" s="9">
        <v>5200</v>
      </c>
      <c r="F37" s="9"/>
      <c r="G37" s="9"/>
      <c r="H37" s="9"/>
      <c r="I37" s="9">
        <v>1100</v>
      </c>
      <c r="J37" s="9"/>
      <c r="K37" s="9"/>
      <c r="L37" s="9"/>
      <c r="M37" s="9"/>
      <c r="N37" s="9"/>
      <c r="O37" s="9"/>
    </row>
    <row r="38" spans="1:15" ht="15.75" customHeight="1" x14ac:dyDescent="0.25">
      <c r="A38" s="31"/>
      <c r="B38" s="1" t="s">
        <v>11</v>
      </c>
      <c r="C38" s="11">
        <v>5200</v>
      </c>
      <c r="D38" s="8"/>
      <c r="E38" s="8">
        <v>5200</v>
      </c>
      <c r="F38" s="8"/>
      <c r="G38" s="8">
        <v>1000</v>
      </c>
      <c r="H38" s="8"/>
      <c r="I38" s="8">
        <v>1000</v>
      </c>
      <c r="J38" s="8"/>
      <c r="K38" s="8"/>
      <c r="L38" s="8"/>
      <c r="M38" s="8"/>
      <c r="N38" s="8"/>
      <c r="O38" s="8"/>
    </row>
    <row r="39" spans="1:15" ht="15.75" customHeight="1" x14ac:dyDescent="0.25">
      <c r="A39" s="31"/>
      <c r="B39" s="2" t="s">
        <v>14</v>
      </c>
      <c r="C39" s="9">
        <v>6400</v>
      </c>
      <c r="D39" s="9"/>
      <c r="E39" s="9">
        <v>3600</v>
      </c>
      <c r="F39" s="9"/>
      <c r="G39" s="9"/>
      <c r="H39" s="9"/>
      <c r="I39" s="9">
        <v>1000</v>
      </c>
      <c r="J39" s="9"/>
      <c r="K39" s="9"/>
      <c r="L39" s="9"/>
      <c r="M39" s="9"/>
      <c r="N39" s="9"/>
      <c r="O39" s="9"/>
    </row>
    <row r="40" spans="1:15" ht="15.75" customHeight="1" x14ac:dyDescent="0.25">
      <c r="A40" s="31"/>
      <c r="B40" s="1" t="s">
        <v>3</v>
      </c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ht="15.75" customHeight="1" x14ac:dyDescent="0.25">
      <c r="A41" s="31"/>
      <c r="B41" s="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ht="15.75" customHeight="1" x14ac:dyDescent="0.25">
      <c r="A42" s="31"/>
      <c r="B42" s="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ht="15.75" customHeight="1" x14ac:dyDescent="0.25">
      <c r="A43" s="24">
        <f t="shared" ref="A43:A45" si="3">SUM(C43,E43,G43,I43,L43,K43,M43)</f>
        <v>48200</v>
      </c>
      <c r="B43" s="2" t="s">
        <v>5</v>
      </c>
      <c r="C43" s="4">
        <f>SUM(C35:C42)</f>
        <v>27000</v>
      </c>
      <c r="D43" s="2" t="s">
        <v>6</v>
      </c>
      <c r="E43" s="4">
        <f>SUM(E35:E42)</f>
        <v>14000</v>
      </c>
      <c r="F43" s="2" t="s">
        <v>6</v>
      </c>
      <c r="G43" s="4">
        <f>SUM(G35:G42)</f>
        <v>1000</v>
      </c>
      <c r="H43" s="2" t="s">
        <v>6</v>
      </c>
      <c r="I43" s="4">
        <f>SUM(I35:I42)</f>
        <v>6200</v>
      </c>
      <c r="J43" s="2" t="s">
        <v>6</v>
      </c>
      <c r="K43" s="4">
        <f>SUM(K35:K42)</f>
        <v>0</v>
      </c>
      <c r="L43" s="2" t="s">
        <v>6</v>
      </c>
      <c r="M43" s="4">
        <f>SUM(M35:M42)</f>
        <v>0</v>
      </c>
      <c r="N43" s="2" t="s">
        <v>6</v>
      </c>
      <c r="O43" s="2"/>
    </row>
    <row r="44" spans="1:15" ht="15.75" customHeight="1" x14ac:dyDescent="0.25">
      <c r="A44" s="24">
        <f t="shared" si="3"/>
        <v>9375</v>
      </c>
      <c r="B44" s="1" t="s">
        <v>7</v>
      </c>
      <c r="C44" s="5">
        <v>4255</v>
      </c>
      <c r="D44" s="1" t="s">
        <v>6</v>
      </c>
      <c r="E44" s="5">
        <v>5120</v>
      </c>
      <c r="F44" s="1" t="s">
        <v>6</v>
      </c>
      <c r="G44" s="5"/>
      <c r="H44" s="1" t="s">
        <v>6</v>
      </c>
      <c r="I44" s="5"/>
      <c r="J44" s="1" t="s">
        <v>6</v>
      </c>
      <c r="K44" s="5"/>
      <c r="L44" s="1" t="s">
        <v>6</v>
      </c>
      <c r="M44" s="5"/>
      <c r="N44" s="1" t="s">
        <v>6</v>
      </c>
      <c r="O44" s="1"/>
    </row>
    <row r="45" spans="1:15" ht="15.75" customHeight="1" x14ac:dyDescent="0.25">
      <c r="A45" s="24">
        <f t="shared" si="3"/>
        <v>38825</v>
      </c>
      <c r="B45" s="2" t="s">
        <v>8</v>
      </c>
      <c r="C45" s="6">
        <f>C43-C44</f>
        <v>22745</v>
      </c>
      <c r="D45" s="2" t="s">
        <v>6</v>
      </c>
      <c r="E45" s="6">
        <f>E43-E44</f>
        <v>8880</v>
      </c>
      <c r="F45" s="2" t="s">
        <v>6</v>
      </c>
      <c r="G45" s="6">
        <f>G43-G44</f>
        <v>1000</v>
      </c>
      <c r="H45" s="2" t="s">
        <v>6</v>
      </c>
      <c r="I45" s="6">
        <f>I43-I44</f>
        <v>6200</v>
      </c>
      <c r="J45" s="2" t="s">
        <v>6</v>
      </c>
      <c r="K45" s="6">
        <f>K43-K44</f>
        <v>0</v>
      </c>
      <c r="L45" s="2" t="s">
        <v>6</v>
      </c>
      <c r="M45" s="6">
        <f>M43-M44</f>
        <v>0</v>
      </c>
      <c r="N45" s="2" t="s">
        <v>6</v>
      </c>
      <c r="O45" s="2"/>
    </row>
    <row r="46" spans="1:15" ht="15.75" customHeight="1" x14ac:dyDescent="0.25">
      <c r="A46" s="35">
        <v>46270</v>
      </c>
      <c r="B46" s="2" t="s">
        <v>12</v>
      </c>
      <c r="C46" s="9">
        <v>11100</v>
      </c>
      <c r="D46" s="9"/>
      <c r="E46" s="8"/>
      <c r="F46" s="8"/>
      <c r="G46" s="8"/>
      <c r="H46" s="8"/>
      <c r="I46" s="8">
        <v>2200</v>
      </c>
      <c r="J46" s="8"/>
      <c r="K46" s="8"/>
      <c r="L46" s="8"/>
      <c r="M46" s="8"/>
      <c r="N46" s="8"/>
    </row>
    <row r="47" spans="1:15" ht="15.75" customHeight="1" x14ac:dyDescent="0.25">
      <c r="A47" s="31"/>
      <c r="B47" s="1" t="s">
        <v>10</v>
      </c>
      <c r="C47" s="8">
        <v>10500</v>
      </c>
      <c r="D47" s="8"/>
      <c r="E47" s="9">
        <v>1000</v>
      </c>
      <c r="F47" s="9"/>
      <c r="G47" s="9"/>
      <c r="H47" s="9"/>
      <c r="I47" s="9">
        <v>1100</v>
      </c>
      <c r="J47" s="9"/>
      <c r="K47" s="9"/>
      <c r="L47" s="9"/>
      <c r="M47" s="9"/>
      <c r="N47" s="9"/>
    </row>
    <row r="48" spans="1:15" ht="15.75" customHeight="1" x14ac:dyDescent="0.25">
      <c r="A48" s="31"/>
      <c r="B48" s="2" t="s">
        <v>15</v>
      </c>
      <c r="C48" s="9">
        <v>5700</v>
      </c>
      <c r="D48" s="9"/>
      <c r="E48" s="13">
        <v>2200</v>
      </c>
      <c r="F48" s="8"/>
      <c r="G48" s="8"/>
      <c r="H48" s="8"/>
      <c r="I48" s="8">
        <v>4200</v>
      </c>
      <c r="J48" s="8"/>
      <c r="K48" s="8"/>
      <c r="L48" s="8"/>
      <c r="M48" s="8"/>
      <c r="N48" s="8"/>
    </row>
    <row r="49" spans="1:14" x14ac:dyDescent="0.25">
      <c r="A49" s="31"/>
      <c r="B49" s="1" t="s">
        <v>16</v>
      </c>
      <c r="C49" s="11">
        <v>8200</v>
      </c>
      <c r="D49" s="8"/>
      <c r="E49" s="10">
        <v>1000</v>
      </c>
      <c r="F49" s="9"/>
      <c r="G49" s="10"/>
      <c r="H49" s="9"/>
      <c r="I49" s="10">
        <v>200</v>
      </c>
      <c r="J49" s="9"/>
      <c r="K49" s="10">
        <v>2300</v>
      </c>
      <c r="L49" s="9"/>
      <c r="M49" s="10"/>
      <c r="N49" s="9"/>
    </row>
    <row r="50" spans="1:14" x14ac:dyDescent="0.25">
      <c r="A50" s="31"/>
      <c r="B50" s="2" t="s">
        <v>14</v>
      </c>
      <c r="C50" s="9">
        <v>2300</v>
      </c>
      <c r="D50" s="9"/>
      <c r="E50" s="8">
        <v>1500</v>
      </c>
      <c r="F50" s="8"/>
      <c r="G50" s="8"/>
      <c r="H50" s="8"/>
      <c r="I50" s="8"/>
      <c r="J50" s="8"/>
      <c r="K50" s="8">
        <v>1500</v>
      </c>
      <c r="L50" s="8"/>
      <c r="M50" s="8"/>
      <c r="N50" s="8"/>
    </row>
    <row r="51" spans="1:14" x14ac:dyDescent="0.25">
      <c r="A51" s="31"/>
      <c r="B51" s="1" t="s">
        <v>3</v>
      </c>
      <c r="C51" s="11"/>
      <c r="D51" s="8"/>
      <c r="E51" s="10"/>
      <c r="F51" s="9"/>
      <c r="G51" s="10"/>
      <c r="H51" s="9"/>
      <c r="I51" s="10"/>
      <c r="J51" s="9"/>
      <c r="K51" s="10"/>
      <c r="L51" s="9"/>
      <c r="M51" s="10"/>
      <c r="N51" s="9"/>
    </row>
    <row r="52" spans="1:14" x14ac:dyDescent="0.25">
      <c r="A52" s="31"/>
      <c r="B52" s="2"/>
      <c r="C52" s="9"/>
      <c r="D52" s="9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25">
      <c r="A53" s="31"/>
      <c r="B53" s="1"/>
      <c r="C53" s="8"/>
      <c r="D53" s="8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x14ac:dyDescent="0.25">
      <c r="A54" s="24">
        <f t="shared" ref="A54:A56" si="4">SUM(C54,E54,G54,I54,L54,K54,M54)</f>
        <v>55000</v>
      </c>
      <c r="B54" s="2" t="s">
        <v>5</v>
      </c>
      <c r="C54" s="4">
        <f>SUM(C46:C53)</f>
        <v>37800</v>
      </c>
      <c r="D54" s="2" t="s">
        <v>6</v>
      </c>
      <c r="E54" s="4">
        <f>SUM(E46:E50)</f>
        <v>5700</v>
      </c>
      <c r="F54" s="14" t="s">
        <v>6</v>
      </c>
      <c r="G54" s="4">
        <f>SUM(G46:G53)</f>
        <v>0</v>
      </c>
      <c r="H54" s="14" t="s">
        <v>6</v>
      </c>
      <c r="I54" s="4">
        <f>SUM(I46:I53)</f>
        <v>7700</v>
      </c>
      <c r="J54" s="14" t="s">
        <v>6</v>
      </c>
      <c r="K54" s="4">
        <f>SUM(K46:K53)</f>
        <v>3800</v>
      </c>
      <c r="L54" s="14" t="s">
        <v>6</v>
      </c>
      <c r="M54" s="4">
        <f>SUM(M46:M53)</f>
        <v>0</v>
      </c>
      <c r="N54" s="14" t="s">
        <v>6</v>
      </c>
    </row>
    <row r="55" spans="1:14" x14ac:dyDescent="0.25">
      <c r="A55" s="24">
        <f t="shared" si="4"/>
        <v>5000</v>
      </c>
      <c r="B55" s="1" t="s">
        <v>7</v>
      </c>
      <c r="C55" s="5">
        <v>5000</v>
      </c>
      <c r="D55" s="1" t="s">
        <v>6</v>
      </c>
      <c r="E55" s="5"/>
      <c r="F55" s="14" t="s">
        <v>6</v>
      </c>
      <c r="G55" s="5"/>
      <c r="H55" s="14" t="s">
        <v>6</v>
      </c>
      <c r="I55" s="5"/>
      <c r="J55" s="14" t="s">
        <v>6</v>
      </c>
      <c r="K55" s="5"/>
      <c r="L55" s="14" t="s">
        <v>6</v>
      </c>
      <c r="M55" s="5"/>
      <c r="N55" s="14" t="s">
        <v>6</v>
      </c>
    </row>
    <row r="56" spans="1:14" x14ac:dyDescent="0.25">
      <c r="A56" s="24">
        <f t="shared" si="4"/>
        <v>50000</v>
      </c>
      <c r="B56" s="2" t="s">
        <v>8</v>
      </c>
      <c r="C56" s="6">
        <f>C54-C55</f>
        <v>32800</v>
      </c>
      <c r="D56" s="2" t="s">
        <v>6</v>
      </c>
      <c r="E56" s="6">
        <f>E54-P44</f>
        <v>5700</v>
      </c>
      <c r="F56" s="14" t="s">
        <v>6</v>
      </c>
      <c r="G56" s="6">
        <f>G54-G55</f>
        <v>0</v>
      </c>
      <c r="H56" s="14" t="s">
        <v>6</v>
      </c>
      <c r="I56" s="6">
        <f>I54-I55</f>
        <v>7700</v>
      </c>
      <c r="J56" s="14" t="s">
        <v>6</v>
      </c>
      <c r="K56" s="6">
        <f>K54-K55</f>
        <v>3800</v>
      </c>
      <c r="L56" s="14" t="s">
        <v>6</v>
      </c>
      <c r="M56" s="6">
        <f>M54-M55</f>
        <v>0</v>
      </c>
      <c r="N56" s="14" t="s">
        <v>6</v>
      </c>
    </row>
    <row r="57" spans="1:14" x14ac:dyDescent="0.25">
      <c r="A57" s="34">
        <v>46271</v>
      </c>
      <c r="B57" s="1" t="s">
        <v>15</v>
      </c>
      <c r="C57" s="8">
        <v>12100</v>
      </c>
      <c r="D57" s="8"/>
      <c r="E57" s="8">
        <v>2200</v>
      </c>
      <c r="F57" s="8"/>
      <c r="G57" s="8"/>
      <c r="H57" s="8"/>
      <c r="I57" s="8">
        <v>2100</v>
      </c>
      <c r="J57" s="8"/>
      <c r="K57" s="8"/>
      <c r="L57" s="8"/>
      <c r="M57" s="8"/>
      <c r="N57" s="8"/>
    </row>
    <row r="58" spans="1:14" x14ac:dyDescent="0.25">
      <c r="A58" s="31"/>
      <c r="B58" s="2" t="s">
        <v>10</v>
      </c>
      <c r="C58" s="9">
        <v>6100</v>
      </c>
      <c r="D58" s="9"/>
      <c r="E58" s="9">
        <v>2100</v>
      </c>
      <c r="F58" s="9"/>
      <c r="G58" s="9"/>
      <c r="H58" s="9"/>
      <c r="I58" s="9"/>
      <c r="J58" s="9"/>
      <c r="K58" s="9"/>
      <c r="L58" s="9"/>
      <c r="M58" s="9"/>
      <c r="N58" s="9"/>
    </row>
    <row r="59" spans="1:14" x14ac:dyDescent="0.25">
      <c r="A59" s="31"/>
      <c r="B59" s="1" t="s">
        <v>14</v>
      </c>
      <c r="C59" s="8">
        <v>8400</v>
      </c>
      <c r="D59" s="8"/>
      <c r="E59" s="8">
        <v>4100</v>
      </c>
      <c r="F59" s="8"/>
      <c r="G59" s="8"/>
      <c r="H59" s="8"/>
      <c r="I59" s="8"/>
      <c r="J59" s="8"/>
      <c r="K59" s="8"/>
      <c r="L59" s="8"/>
      <c r="M59" s="8"/>
      <c r="N59" s="8"/>
    </row>
    <row r="60" spans="1:14" x14ac:dyDescent="0.25">
      <c r="A60" s="31"/>
      <c r="B60" s="2"/>
      <c r="C60" s="10"/>
      <c r="D60" s="9"/>
      <c r="E60" s="10"/>
      <c r="F60" s="9"/>
      <c r="G60" s="10"/>
      <c r="H60" s="9"/>
      <c r="I60" s="10"/>
      <c r="J60" s="9"/>
      <c r="K60" s="10"/>
      <c r="L60" s="9"/>
      <c r="M60" s="10"/>
      <c r="N60" s="9"/>
    </row>
    <row r="61" spans="1:14" x14ac:dyDescent="0.25">
      <c r="A61" s="31"/>
      <c r="B61" s="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x14ac:dyDescent="0.25">
      <c r="A62" s="31"/>
      <c r="B62" s="2"/>
      <c r="C62" s="10"/>
      <c r="D62" s="9"/>
      <c r="E62" s="10"/>
      <c r="F62" s="9"/>
      <c r="G62" s="10"/>
      <c r="H62" s="9"/>
      <c r="I62" s="10"/>
      <c r="J62" s="9"/>
      <c r="K62" s="10"/>
      <c r="L62" s="9"/>
      <c r="M62" s="10"/>
      <c r="N62" s="9"/>
    </row>
    <row r="63" spans="1:14" x14ac:dyDescent="0.25">
      <c r="A63" s="31"/>
      <c r="B63" s="1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x14ac:dyDescent="0.25">
      <c r="A64" s="31"/>
      <c r="B64" s="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x14ac:dyDescent="0.25">
      <c r="A65" s="23">
        <f t="shared" ref="A65:A67" si="5">SUM(C65,E65,G65,I65,L65,K65,M65)</f>
        <v>37100</v>
      </c>
      <c r="B65" s="1" t="s">
        <v>5</v>
      </c>
      <c r="C65" s="4">
        <f>SUM(C57:C64)</f>
        <v>26600</v>
      </c>
      <c r="D65" s="1" t="s">
        <v>6</v>
      </c>
      <c r="E65" s="4">
        <f>SUM(E57:E64)</f>
        <v>8400</v>
      </c>
      <c r="F65" s="14" t="s">
        <v>6</v>
      </c>
      <c r="G65" s="4">
        <f>SUM(G57:G64)</f>
        <v>0</v>
      </c>
      <c r="H65" s="14" t="s">
        <v>6</v>
      </c>
      <c r="I65" s="4">
        <f>SUM(I57:I64)</f>
        <v>2100</v>
      </c>
      <c r="J65" s="14" t="s">
        <v>6</v>
      </c>
      <c r="K65" s="4">
        <f>SUM(K57:K64)</f>
        <v>0</v>
      </c>
      <c r="L65" s="14" t="s">
        <v>6</v>
      </c>
      <c r="M65" s="4">
        <f>SUM(M57:M64)</f>
        <v>0</v>
      </c>
      <c r="N65" s="14" t="s">
        <v>6</v>
      </c>
    </row>
    <row r="66" spans="1:14" x14ac:dyDescent="0.25">
      <c r="A66" s="23">
        <f t="shared" si="5"/>
        <v>355</v>
      </c>
      <c r="B66" s="2" t="s">
        <v>7</v>
      </c>
      <c r="C66" s="5">
        <v>355</v>
      </c>
      <c r="D66" s="2" t="s">
        <v>6</v>
      </c>
      <c r="E66" s="5"/>
      <c r="F66" s="14" t="s">
        <v>6</v>
      </c>
      <c r="G66" s="5"/>
      <c r="H66" s="14" t="s">
        <v>6</v>
      </c>
      <c r="I66" s="5"/>
      <c r="J66" s="14" t="s">
        <v>6</v>
      </c>
      <c r="K66" s="5"/>
      <c r="L66" s="14" t="s">
        <v>6</v>
      </c>
      <c r="M66" s="5"/>
      <c r="N66" s="14" t="s">
        <v>6</v>
      </c>
    </row>
    <row r="67" spans="1:14" x14ac:dyDescent="0.25">
      <c r="A67" s="23">
        <f t="shared" si="5"/>
        <v>36745</v>
      </c>
      <c r="B67" s="1" t="s">
        <v>8</v>
      </c>
      <c r="C67" s="6">
        <f>C65-C66</f>
        <v>26245</v>
      </c>
      <c r="D67" s="1" t="s">
        <v>6</v>
      </c>
      <c r="E67" s="6">
        <f>E65-E66</f>
        <v>8400</v>
      </c>
      <c r="F67" s="14" t="s">
        <v>6</v>
      </c>
      <c r="G67" s="6">
        <f>G65-G66</f>
        <v>0</v>
      </c>
      <c r="H67" s="14" t="s">
        <v>6</v>
      </c>
      <c r="I67" s="6">
        <f>I65-I66</f>
        <v>2100</v>
      </c>
      <c r="J67" s="14" t="s">
        <v>6</v>
      </c>
      <c r="K67" s="6">
        <f>K65-K66</f>
        <v>0</v>
      </c>
      <c r="L67" s="14" t="s">
        <v>6</v>
      </c>
      <c r="M67" s="6">
        <f>M65-M66</f>
        <v>0</v>
      </c>
      <c r="N67" s="14" t="s">
        <v>6</v>
      </c>
    </row>
    <row r="68" spans="1:14" x14ac:dyDescent="0.25">
      <c r="A68" s="35">
        <v>46272</v>
      </c>
      <c r="B68" s="2" t="s">
        <v>3</v>
      </c>
      <c r="C68" s="9">
        <v>200</v>
      </c>
      <c r="D68" s="9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4" x14ac:dyDescent="0.25">
      <c r="A69" s="31"/>
      <c r="B69" s="1" t="s">
        <v>15</v>
      </c>
      <c r="C69" s="8">
        <v>5000</v>
      </c>
      <c r="D69" s="8"/>
      <c r="E69" s="9">
        <v>5500</v>
      </c>
      <c r="F69" s="9"/>
      <c r="G69" s="9"/>
      <c r="H69" s="9"/>
      <c r="I69" s="9">
        <v>4500</v>
      </c>
      <c r="J69" s="9"/>
      <c r="K69" s="9"/>
      <c r="L69" s="9"/>
      <c r="M69" s="9"/>
      <c r="N69" s="9"/>
    </row>
    <row r="70" spans="1:14" x14ac:dyDescent="0.25">
      <c r="A70" s="31"/>
      <c r="B70" s="2" t="s">
        <v>11</v>
      </c>
      <c r="C70" s="9">
        <v>12700</v>
      </c>
      <c r="D70" s="9"/>
      <c r="E70" s="8">
        <v>1000</v>
      </c>
      <c r="F70" s="8"/>
      <c r="G70" s="8"/>
      <c r="H70" s="8"/>
      <c r="I70" s="8">
        <v>1100</v>
      </c>
      <c r="J70" s="8"/>
      <c r="K70" s="8"/>
      <c r="L70" s="8"/>
      <c r="M70" s="8"/>
      <c r="N70" s="8"/>
    </row>
    <row r="71" spans="1:14" x14ac:dyDescent="0.25">
      <c r="A71" s="31"/>
      <c r="B71" s="1" t="s">
        <v>10</v>
      </c>
      <c r="C71" s="11">
        <v>12900</v>
      </c>
      <c r="D71" s="8"/>
      <c r="E71" s="10">
        <v>2300</v>
      </c>
      <c r="F71" s="9"/>
      <c r="G71" s="10"/>
      <c r="H71" s="9"/>
      <c r="I71" s="10"/>
      <c r="J71" s="9"/>
      <c r="K71" s="10"/>
      <c r="L71" s="9"/>
      <c r="M71" s="10"/>
      <c r="N71" s="9"/>
    </row>
    <row r="72" spans="1:14" x14ac:dyDescent="0.25">
      <c r="A72" s="31"/>
      <c r="B72" s="2" t="s">
        <v>14</v>
      </c>
      <c r="C72" s="9">
        <v>9300</v>
      </c>
      <c r="D72" s="9"/>
      <c r="E72" s="8"/>
      <c r="F72" s="8"/>
      <c r="G72" s="8"/>
      <c r="H72" s="8"/>
      <c r="I72" s="8">
        <v>1100</v>
      </c>
      <c r="J72" s="8"/>
      <c r="K72" s="8"/>
      <c r="L72" s="8"/>
      <c r="M72" s="8"/>
      <c r="N72" s="8"/>
    </row>
    <row r="73" spans="1:14" x14ac:dyDescent="0.25">
      <c r="A73" s="31"/>
      <c r="B73" s="1" t="s">
        <v>4</v>
      </c>
      <c r="C73" s="11"/>
      <c r="D73" s="8"/>
      <c r="E73" s="10"/>
      <c r="F73" s="9"/>
      <c r="G73" s="10"/>
      <c r="H73" s="9"/>
      <c r="I73" s="10"/>
      <c r="J73" s="9"/>
      <c r="K73" s="10"/>
      <c r="L73" s="9"/>
      <c r="M73" s="10"/>
      <c r="N73" s="9"/>
    </row>
    <row r="74" spans="1:14" x14ac:dyDescent="0.25">
      <c r="A74" s="31"/>
      <c r="B74" s="2" t="s">
        <v>12</v>
      </c>
      <c r="C74" s="9"/>
      <c r="D74" s="9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 x14ac:dyDescent="0.25">
      <c r="A75" s="31"/>
      <c r="B75" s="1"/>
      <c r="C75" s="8"/>
      <c r="D75" s="8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x14ac:dyDescent="0.25">
      <c r="A76" s="24">
        <f t="shared" ref="A76:A78" si="6">SUM(C76,E76,G76,I76,L76,K76,M76)</f>
        <v>55600</v>
      </c>
      <c r="B76" s="2" t="s">
        <v>5</v>
      </c>
      <c r="C76" s="4">
        <f>SUM(C68:C75)</f>
        <v>40100</v>
      </c>
      <c r="D76" s="2" t="s">
        <v>6</v>
      </c>
      <c r="E76" s="4">
        <f>SUM(E68:E75)</f>
        <v>8800</v>
      </c>
      <c r="F76" s="14" t="s">
        <v>6</v>
      </c>
      <c r="G76" s="4">
        <f>SUM(G68:G75)</f>
        <v>0</v>
      </c>
      <c r="H76" s="14" t="s">
        <v>6</v>
      </c>
      <c r="I76" s="4">
        <f>SUM(I68:I75)</f>
        <v>6700</v>
      </c>
      <c r="J76" s="14" t="s">
        <v>6</v>
      </c>
      <c r="K76" s="4">
        <f>SUM(K68:K75)</f>
        <v>0</v>
      </c>
      <c r="L76" s="14" t="s">
        <v>6</v>
      </c>
      <c r="M76" s="4">
        <f>SUM(M68:M75)</f>
        <v>0</v>
      </c>
      <c r="N76" s="14" t="s">
        <v>6</v>
      </c>
    </row>
    <row r="77" spans="1:14" x14ac:dyDescent="0.25">
      <c r="A77" s="24">
        <f t="shared" si="6"/>
        <v>12501</v>
      </c>
      <c r="B77" s="1" t="s">
        <v>7</v>
      </c>
      <c r="C77" s="5">
        <v>4189</v>
      </c>
      <c r="D77" s="1" t="s">
        <v>6</v>
      </c>
      <c r="E77" s="5">
        <v>8312</v>
      </c>
      <c r="F77" s="14" t="s">
        <v>6</v>
      </c>
      <c r="G77" s="5"/>
      <c r="H77" s="14" t="s">
        <v>6</v>
      </c>
      <c r="I77" s="5"/>
      <c r="J77" s="14" t="s">
        <v>6</v>
      </c>
      <c r="K77" s="5"/>
      <c r="L77" s="14" t="s">
        <v>6</v>
      </c>
      <c r="M77" s="5"/>
      <c r="N77" s="14" t="s">
        <v>6</v>
      </c>
    </row>
    <row r="78" spans="1:14" x14ac:dyDescent="0.25">
      <c r="A78" s="24">
        <f t="shared" si="6"/>
        <v>43099</v>
      </c>
      <c r="B78" s="2" t="s">
        <v>8</v>
      </c>
      <c r="C78" s="6">
        <f>C76-C77</f>
        <v>35911</v>
      </c>
      <c r="D78" s="2" t="s">
        <v>6</v>
      </c>
      <c r="E78" s="6">
        <f>E76-E77</f>
        <v>488</v>
      </c>
      <c r="F78" s="14" t="s">
        <v>6</v>
      </c>
      <c r="G78" s="6">
        <f>G76-G77</f>
        <v>0</v>
      </c>
      <c r="H78" s="14" t="s">
        <v>6</v>
      </c>
      <c r="I78" s="6">
        <f>I76-I77</f>
        <v>6700</v>
      </c>
      <c r="J78" s="14" t="s">
        <v>6</v>
      </c>
      <c r="K78" s="6">
        <f>K76-K77</f>
        <v>0</v>
      </c>
      <c r="L78" s="14" t="s">
        <v>6</v>
      </c>
      <c r="M78" s="6">
        <f>M76-M77</f>
        <v>0</v>
      </c>
      <c r="N78" s="14" t="s">
        <v>6</v>
      </c>
    </row>
    <row r="79" spans="1:14" x14ac:dyDescent="0.25">
      <c r="A79" s="35">
        <v>46273</v>
      </c>
      <c r="B79" s="1" t="s">
        <v>3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x14ac:dyDescent="0.25">
      <c r="A80" s="31"/>
      <c r="B80" s="2" t="s">
        <v>15</v>
      </c>
      <c r="C80" s="9">
        <v>4400</v>
      </c>
      <c r="D80" s="9"/>
      <c r="E80" s="9"/>
      <c r="F80" s="9"/>
      <c r="G80" s="9"/>
      <c r="H80" s="9"/>
      <c r="I80" s="9">
        <v>2500</v>
      </c>
      <c r="J80" s="9"/>
      <c r="K80" s="9"/>
      <c r="L80" s="9"/>
      <c r="M80" s="9"/>
      <c r="N80" s="9"/>
    </row>
    <row r="81" spans="1:14" x14ac:dyDescent="0.25">
      <c r="A81" s="31"/>
      <c r="B81" s="1" t="s">
        <v>11</v>
      </c>
      <c r="C81" s="8">
        <v>8160</v>
      </c>
      <c r="D81" s="8"/>
      <c r="E81" s="8">
        <v>4600</v>
      </c>
      <c r="F81" s="8"/>
      <c r="G81" s="8"/>
      <c r="H81" s="8"/>
      <c r="I81" s="8">
        <v>1200</v>
      </c>
      <c r="J81" s="8"/>
      <c r="K81" s="8"/>
      <c r="L81" s="8"/>
      <c r="M81" s="8"/>
      <c r="N81" s="8"/>
    </row>
    <row r="82" spans="1:14" x14ac:dyDescent="0.25">
      <c r="A82" s="31"/>
      <c r="B82" s="2" t="s">
        <v>10</v>
      </c>
      <c r="C82" s="10">
        <v>4400</v>
      </c>
      <c r="D82" s="9"/>
      <c r="E82" s="10">
        <v>1200</v>
      </c>
      <c r="F82" s="9"/>
      <c r="G82" s="10"/>
      <c r="H82" s="9"/>
      <c r="I82" s="10">
        <v>1000</v>
      </c>
      <c r="J82" s="9"/>
      <c r="K82" s="10"/>
      <c r="L82" s="9"/>
      <c r="M82" s="10"/>
      <c r="N82" s="9"/>
    </row>
    <row r="83" spans="1:14" x14ac:dyDescent="0.25">
      <c r="A83" s="31"/>
      <c r="B83" s="1" t="s">
        <v>12</v>
      </c>
      <c r="C83" s="8">
        <v>6000</v>
      </c>
      <c r="D83" s="8"/>
      <c r="E83" s="8">
        <v>2000</v>
      </c>
      <c r="F83" s="8"/>
      <c r="G83" s="8"/>
      <c r="H83" s="8"/>
      <c r="I83" s="8"/>
      <c r="J83" s="8"/>
      <c r="K83" s="8"/>
      <c r="L83" s="8"/>
      <c r="M83" s="8"/>
      <c r="N83" s="8"/>
    </row>
    <row r="84" spans="1:14" x14ac:dyDescent="0.25">
      <c r="A84" s="31"/>
      <c r="B84" s="2" t="s">
        <v>14</v>
      </c>
      <c r="C84" s="10">
        <v>3100</v>
      </c>
      <c r="D84" s="9"/>
      <c r="E84" s="10">
        <v>2300</v>
      </c>
      <c r="F84" s="9"/>
      <c r="G84" s="10"/>
      <c r="H84" s="9"/>
      <c r="I84" s="10"/>
      <c r="J84" s="9"/>
      <c r="K84" s="10"/>
      <c r="L84" s="9"/>
      <c r="M84" s="10"/>
      <c r="N84" s="9"/>
    </row>
    <row r="85" spans="1:14" x14ac:dyDescent="0.25">
      <c r="A85" s="31"/>
      <c r="B85" s="1" t="s">
        <v>16</v>
      </c>
      <c r="C85" s="8">
        <v>1000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x14ac:dyDescent="0.25">
      <c r="A86" s="31"/>
      <c r="B86" s="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 x14ac:dyDescent="0.25">
      <c r="A87" s="24">
        <f t="shared" ref="A87:A89" si="7">SUM(C87,E87,G87,I87,L87,K87,M87)</f>
        <v>41860</v>
      </c>
      <c r="B87" s="1" t="s">
        <v>5</v>
      </c>
      <c r="C87" s="4">
        <f>SUM(C79:C86)</f>
        <v>27060</v>
      </c>
      <c r="D87" s="1" t="s">
        <v>6</v>
      </c>
      <c r="E87" s="4">
        <f>SUM(E79:E86)</f>
        <v>10100</v>
      </c>
      <c r="F87" s="14" t="s">
        <v>6</v>
      </c>
      <c r="G87" s="4">
        <f>SUM(G79:G86)</f>
        <v>0</v>
      </c>
      <c r="H87" s="14" t="s">
        <v>6</v>
      </c>
      <c r="I87" s="4">
        <f>SUM(I79:I86)</f>
        <v>4700</v>
      </c>
      <c r="J87" s="14" t="s">
        <v>6</v>
      </c>
      <c r="K87" s="4">
        <f>SUM(K79:K86)</f>
        <v>0</v>
      </c>
      <c r="L87" s="14" t="s">
        <v>6</v>
      </c>
      <c r="M87" s="4">
        <f>SUM(M79:M86)</f>
        <v>0</v>
      </c>
      <c r="N87" s="14" t="s">
        <v>6</v>
      </c>
    </row>
    <row r="88" spans="1:14" x14ac:dyDescent="0.25">
      <c r="A88" s="24">
        <f t="shared" si="7"/>
        <v>449</v>
      </c>
      <c r="B88" s="2" t="s">
        <v>7</v>
      </c>
      <c r="C88" s="5">
        <v>350</v>
      </c>
      <c r="D88" s="2" t="s">
        <v>6</v>
      </c>
      <c r="E88" s="5">
        <v>99</v>
      </c>
      <c r="F88" s="14" t="s">
        <v>6</v>
      </c>
      <c r="G88" s="5"/>
      <c r="H88" s="14" t="s">
        <v>6</v>
      </c>
      <c r="I88" s="5"/>
      <c r="J88" s="14" t="s">
        <v>6</v>
      </c>
      <c r="K88" s="5"/>
      <c r="L88" s="14" t="s">
        <v>6</v>
      </c>
      <c r="M88" s="5"/>
      <c r="N88" s="14" t="s">
        <v>6</v>
      </c>
    </row>
    <row r="89" spans="1:14" x14ac:dyDescent="0.25">
      <c r="A89" s="24">
        <f t="shared" si="7"/>
        <v>41411</v>
      </c>
      <c r="B89" s="1" t="s">
        <v>8</v>
      </c>
      <c r="C89" s="6">
        <f>C87-C88</f>
        <v>26710</v>
      </c>
      <c r="D89" s="1" t="s">
        <v>6</v>
      </c>
      <c r="E89" s="6">
        <f>E87-E88</f>
        <v>10001</v>
      </c>
      <c r="F89" s="14" t="s">
        <v>6</v>
      </c>
      <c r="G89" s="6">
        <f>G87-G88</f>
        <v>0</v>
      </c>
      <c r="H89" s="14" t="s">
        <v>6</v>
      </c>
      <c r="I89" s="6">
        <f>I87-I88</f>
        <v>4700</v>
      </c>
      <c r="J89" s="14" t="s">
        <v>6</v>
      </c>
      <c r="K89" s="6">
        <f>K87-K88</f>
        <v>0</v>
      </c>
      <c r="L89" s="14" t="s">
        <v>6</v>
      </c>
      <c r="M89" s="6">
        <f>M87-M88</f>
        <v>0</v>
      </c>
      <c r="N89" s="14" t="s">
        <v>6</v>
      </c>
    </row>
    <row r="90" spans="1:14" x14ac:dyDescent="0.25">
      <c r="A90" s="35">
        <v>46274</v>
      </c>
      <c r="B90" s="2" t="s">
        <v>3</v>
      </c>
      <c r="C90" s="9">
        <v>200</v>
      </c>
      <c r="D90" s="9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 x14ac:dyDescent="0.25">
      <c r="A91" s="31"/>
      <c r="B91" s="1" t="s">
        <v>15</v>
      </c>
      <c r="C91" s="8">
        <v>11700</v>
      </c>
      <c r="D91" s="8"/>
      <c r="E91" s="9"/>
      <c r="F91" s="9"/>
      <c r="G91" s="9"/>
      <c r="H91" s="9"/>
      <c r="I91" s="9">
        <v>5000</v>
      </c>
      <c r="J91" s="9"/>
      <c r="K91" s="9"/>
      <c r="L91" s="9"/>
      <c r="M91" s="9"/>
      <c r="N91" s="9"/>
    </row>
    <row r="92" spans="1:14" x14ac:dyDescent="0.25">
      <c r="A92" s="31"/>
      <c r="B92" s="2" t="s">
        <v>11</v>
      </c>
      <c r="C92" s="9">
        <v>9900</v>
      </c>
      <c r="D92" s="9"/>
      <c r="E92" s="8">
        <v>500</v>
      </c>
      <c r="F92" s="8"/>
      <c r="G92" s="8"/>
      <c r="H92" s="8"/>
      <c r="I92" s="8">
        <v>1000</v>
      </c>
      <c r="J92" s="8"/>
      <c r="K92" s="8">
        <v>4000</v>
      </c>
      <c r="L92" s="8"/>
      <c r="M92" s="8"/>
      <c r="N92" s="8"/>
    </row>
    <row r="93" spans="1:14" x14ac:dyDescent="0.25">
      <c r="A93" s="31"/>
      <c r="B93" s="1" t="s">
        <v>10</v>
      </c>
      <c r="C93" s="11">
        <v>9400</v>
      </c>
      <c r="D93" s="8"/>
      <c r="E93" s="10">
        <v>3000</v>
      </c>
      <c r="F93" s="9"/>
      <c r="G93" s="10"/>
      <c r="H93" s="9"/>
      <c r="I93" s="10"/>
      <c r="J93" s="9"/>
      <c r="K93" s="10"/>
      <c r="L93" s="9"/>
      <c r="M93" s="10"/>
      <c r="N93" s="9"/>
    </row>
    <row r="94" spans="1:14" x14ac:dyDescent="0.25">
      <c r="A94" s="31"/>
      <c r="B94" s="2" t="s">
        <v>12</v>
      </c>
      <c r="C94" s="9">
        <v>5950</v>
      </c>
      <c r="D94" s="9"/>
      <c r="E94" s="8">
        <v>5250</v>
      </c>
      <c r="F94" s="8"/>
      <c r="G94" s="8"/>
      <c r="H94" s="8"/>
      <c r="I94" s="8"/>
      <c r="J94" s="8"/>
      <c r="K94" s="8"/>
      <c r="L94" s="8"/>
      <c r="M94" s="8"/>
      <c r="N94" s="8"/>
    </row>
    <row r="95" spans="1:14" x14ac:dyDescent="0.25">
      <c r="A95" s="31"/>
      <c r="B95" s="1"/>
      <c r="C95" s="11"/>
      <c r="D95" s="8"/>
      <c r="E95" s="10"/>
      <c r="F95" s="9"/>
      <c r="G95" s="10"/>
      <c r="H95" s="9"/>
      <c r="I95" s="10"/>
      <c r="J95" s="9"/>
      <c r="K95" s="10"/>
      <c r="L95" s="9"/>
      <c r="M95" s="10"/>
      <c r="N95" s="9"/>
    </row>
    <row r="96" spans="1:14" x14ac:dyDescent="0.25">
      <c r="A96" s="31"/>
      <c r="B96" s="2"/>
      <c r="C96" s="9"/>
      <c r="D96" s="9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x14ac:dyDescent="0.25">
      <c r="A97" s="31"/>
      <c r="B97" s="1"/>
      <c r="C97" s="8"/>
      <c r="D97" s="8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A98" s="24">
        <f t="shared" ref="A98:A100" si="8">SUM(C98,E98,G98,I98,L98,K98,M98)</f>
        <v>55900</v>
      </c>
      <c r="B98" s="2" t="s">
        <v>5</v>
      </c>
      <c r="C98" s="4">
        <f>SUM(C90:C97)</f>
        <v>37150</v>
      </c>
      <c r="D98" s="2" t="s">
        <v>6</v>
      </c>
      <c r="E98" s="4">
        <f>SUM(E90:E97)</f>
        <v>8750</v>
      </c>
      <c r="F98" s="14" t="s">
        <v>6</v>
      </c>
      <c r="G98" s="4">
        <f>SUM(G90:G97)</f>
        <v>0</v>
      </c>
      <c r="H98" s="14" t="s">
        <v>6</v>
      </c>
      <c r="I98" s="4">
        <f>SUM(I90:I97)</f>
        <v>6000</v>
      </c>
      <c r="J98" s="14" t="s">
        <v>6</v>
      </c>
      <c r="K98" s="4">
        <f>SUM(K90:K97)</f>
        <v>4000</v>
      </c>
      <c r="L98" s="14" t="s">
        <v>6</v>
      </c>
      <c r="M98" s="4">
        <f>SUM(M90:M97)</f>
        <v>0</v>
      </c>
      <c r="N98" s="14" t="s">
        <v>6</v>
      </c>
    </row>
    <row r="99" spans="1:14" x14ac:dyDescent="0.25">
      <c r="A99" s="24">
        <f t="shared" si="8"/>
        <v>680</v>
      </c>
      <c r="B99" s="1" t="s">
        <v>7</v>
      </c>
      <c r="C99" s="5">
        <v>680</v>
      </c>
      <c r="D99" s="1" t="s">
        <v>6</v>
      </c>
      <c r="E99" s="5"/>
      <c r="F99" s="14" t="s">
        <v>6</v>
      </c>
      <c r="G99" s="5"/>
      <c r="H99" s="14" t="s">
        <v>6</v>
      </c>
      <c r="I99" s="5"/>
      <c r="J99" s="14" t="s">
        <v>6</v>
      </c>
      <c r="K99" s="5"/>
      <c r="L99" s="14" t="s">
        <v>6</v>
      </c>
      <c r="M99" s="5"/>
      <c r="N99" s="14" t="s">
        <v>6</v>
      </c>
    </row>
    <row r="100" spans="1:14" x14ac:dyDescent="0.25">
      <c r="A100" s="24">
        <f t="shared" si="8"/>
        <v>55220</v>
      </c>
      <c r="B100" s="2" t="s">
        <v>8</v>
      </c>
      <c r="C100" s="6">
        <f>C98-C99</f>
        <v>36470</v>
      </c>
      <c r="D100" s="2" t="s">
        <v>6</v>
      </c>
      <c r="E100" s="6">
        <f>SUM(E98-E99)</f>
        <v>8750</v>
      </c>
      <c r="F100" s="14" t="s">
        <v>6</v>
      </c>
      <c r="G100" s="6">
        <f>G98-G99</f>
        <v>0</v>
      </c>
      <c r="H100" s="14" t="s">
        <v>6</v>
      </c>
      <c r="I100" s="6">
        <f>I98-L101</f>
        <v>6000</v>
      </c>
      <c r="J100" s="14" t="s">
        <v>6</v>
      </c>
      <c r="K100" s="6">
        <f>K98-K99</f>
        <v>4000</v>
      </c>
      <c r="L100" s="14" t="s">
        <v>6</v>
      </c>
      <c r="M100" s="6">
        <f>M98-M99</f>
        <v>0</v>
      </c>
      <c r="N100" s="14" t="s">
        <v>6</v>
      </c>
    </row>
    <row r="101" spans="1:14" x14ac:dyDescent="0.25">
      <c r="A101" s="34">
        <v>46275</v>
      </c>
      <c r="B101" s="1" t="s">
        <v>4</v>
      </c>
      <c r="C101" s="8">
        <v>3000</v>
      </c>
      <c r="D101" s="8"/>
      <c r="E101" s="8">
        <v>6800</v>
      </c>
      <c r="F101" s="8"/>
      <c r="G101" s="8">
        <v>1000</v>
      </c>
      <c r="H101" s="8"/>
      <c r="I101" s="8"/>
      <c r="J101" s="8"/>
      <c r="K101" s="8"/>
      <c r="L101" s="8"/>
      <c r="M101" s="8"/>
      <c r="N101" s="8"/>
    </row>
    <row r="102" spans="1:14" x14ac:dyDescent="0.25">
      <c r="A102" s="31"/>
      <c r="B102" s="2" t="s">
        <v>11</v>
      </c>
      <c r="C102" s="9">
        <v>7700</v>
      </c>
      <c r="D102" s="9"/>
      <c r="E102" s="9">
        <v>3100</v>
      </c>
      <c r="F102" s="9"/>
      <c r="G102" s="9"/>
      <c r="H102" s="9"/>
      <c r="I102" s="9"/>
      <c r="J102" s="9"/>
      <c r="K102" s="9"/>
      <c r="L102" s="9"/>
      <c r="M102" s="9"/>
      <c r="N102" s="9"/>
    </row>
    <row r="103" spans="1:14" x14ac:dyDescent="0.25">
      <c r="A103" s="31"/>
      <c r="B103" s="1" t="s">
        <v>12</v>
      </c>
      <c r="C103" s="8">
        <v>4400</v>
      </c>
      <c r="D103" s="8"/>
      <c r="E103" s="8">
        <v>6100</v>
      </c>
      <c r="F103" s="8"/>
      <c r="G103" s="8"/>
      <c r="H103" s="8"/>
      <c r="I103" s="8"/>
      <c r="J103" s="8"/>
      <c r="K103" s="8"/>
      <c r="L103" s="8"/>
      <c r="M103" s="8"/>
      <c r="N103" s="8"/>
    </row>
    <row r="104" spans="1:14" x14ac:dyDescent="0.25">
      <c r="A104" s="31"/>
      <c r="B104" s="2" t="s">
        <v>15</v>
      </c>
      <c r="C104" s="10">
        <v>7800</v>
      </c>
      <c r="D104" s="9"/>
      <c r="E104" s="10">
        <v>3000</v>
      </c>
      <c r="F104" s="9"/>
      <c r="G104" s="10"/>
      <c r="H104" s="9"/>
      <c r="I104" s="10"/>
      <c r="J104" s="9"/>
      <c r="K104" s="10"/>
      <c r="L104" s="9"/>
      <c r="M104" s="10"/>
      <c r="N104" s="9"/>
    </row>
    <row r="105" spans="1:14" x14ac:dyDescent="0.25">
      <c r="A105" s="31"/>
      <c r="B105" s="1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x14ac:dyDescent="0.25">
      <c r="A106" s="31"/>
      <c r="B106" s="2"/>
      <c r="C106" s="10"/>
      <c r="D106" s="9"/>
      <c r="E106" s="10"/>
      <c r="F106" s="9"/>
      <c r="G106" s="10"/>
      <c r="H106" s="9"/>
      <c r="I106" s="10"/>
      <c r="J106" s="9"/>
      <c r="K106" s="10"/>
      <c r="L106" s="9"/>
      <c r="M106" s="10"/>
      <c r="N106" s="9"/>
    </row>
    <row r="107" spans="1:14" x14ac:dyDescent="0.25">
      <c r="A107" s="31"/>
      <c r="B107" s="1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x14ac:dyDescent="0.25">
      <c r="A108" s="31"/>
      <c r="B108" s="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4" x14ac:dyDescent="0.25">
      <c r="A109" s="23">
        <f t="shared" ref="A109:A111" si="9">SUM(C109,E109,G109,I109,L109,K109,M109)</f>
        <v>42900</v>
      </c>
      <c r="B109" s="1" t="s">
        <v>5</v>
      </c>
      <c r="C109" s="4">
        <f>SUM(C101:C108)</f>
        <v>22900</v>
      </c>
      <c r="D109" s="1" t="s">
        <v>6</v>
      </c>
      <c r="E109" s="4">
        <f>SUM(E101:E108)</f>
        <v>19000</v>
      </c>
      <c r="F109" s="14" t="s">
        <v>6</v>
      </c>
      <c r="G109" s="4">
        <f>SUM(G101:G108)</f>
        <v>1000</v>
      </c>
      <c r="H109" s="14" t="s">
        <v>6</v>
      </c>
      <c r="I109" s="4">
        <f>SUM(I101:I108)</f>
        <v>0</v>
      </c>
      <c r="J109" s="14" t="s">
        <v>6</v>
      </c>
      <c r="K109" s="4">
        <f>SUM(K101:K108)</f>
        <v>0</v>
      </c>
      <c r="L109" s="14" t="s">
        <v>6</v>
      </c>
      <c r="M109" s="4">
        <f>SUM(M101:M108)</f>
        <v>0</v>
      </c>
      <c r="N109" s="14" t="s">
        <v>6</v>
      </c>
    </row>
    <row r="110" spans="1:14" x14ac:dyDescent="0.25">
      <c r="A110" s="23">
        <f t="shared" si="9"/>
        <v>13193</v>
      </c>
      <c r="B110" s="2" t="s">
        <v>7</v>
      </c>
      <c r="C110" s="5">
        <v>1125</v>
      </c>
      <c r="D110" s="2" t="s">
        <v>6</v>
      </c>
      <c r="E110" s="5">
        <v>12068</v>
      </c>
      <c r="F110" s="14" t="s">
        <v>6</v>
      </c>
      <c r="G110" s="5"/>
      <c r="H110" s="14" t="s">
        <v>6</v>
      </c>
      <c r="I110" s="5"/>
      <c r="J110" s="14" t="s">
        <v>6</v>
      </c>
      <c r="K110" s="5"/>
      <c r="L110" s="14" t="s">
        <v>6</v>
      </c>
      <c r="M110" s="5"/>
      <c r="N110" s="14" t="s">
        <v>6</v>
      </c>
    </row>
    <row r="111" spans="1:14" x14ac:dyDescent="0.25">
      <c r="A111" s="23">
        <f t="shared" si="9"/>
        <v>29707</v>
      </c>
      <c r="B111" s="1" t="s">
        <v>8</v>
      </c>
      <c r="C111" s="6">
        <f>C109-C110</f>
        <v>21775</v>
      </c>
      <c r="D111" s="1" t="s">
        <v>6</v>
      </c>
      <c r="E111" s="6">
        <f>E109-E110</f>
        <v>6932</v>
      </c>
      <c r="F111" s="14" t="s">
        <v>6</v>
      </c>
      <c r="G111" s="6">
        <f>G109-G110</f>
        <v>1000</v>
      </c>
      <c r="H111" s="14" t="s">
        <v>6</v>
      </c>
      <c r="I111" s="6">
        <f>I109-I110</f>
        <v>0</v>
      </c>
      <c r="J111" s="14" t="s">
        <v>6</v>
      </c>
      <c r="K111" s="6">
        <f>K109-K110</f>
        <v>0</v>
      </c>
      <c r="L111" s="14" t="s">
        <v>6</v>
      </c>
      <c r="M111" s="6">
        <f>M109-M110</f>
        <v>0</v>
      </c>
      <c r="N111" s="14" t="s">
        <v>6</v>
      </c>
    </row>
    <row r="112" spans="1:14" x14ac:dyDescent="0.25">
      <c r="A112" s="35">
        <v>46276</v>
      </c>
      <c r="B112" s="2" t="s">
        <v>3</v>
      </c>
      <c r="C112" s="9"/>
      <c r="D112" s="9"/>
      <c r="E112" s="8"/>
      <c r="F112" s="8"/>
      <c r="G112" s="8"/>
      <c r="H112" s="8"/>
      <c r="I112" s="8"/>
      <c r="J112" s="8"/>
      <c r="K112" s="8"/>
      <c r="L112" s="8"/>
      <c r="M112" s="8"/>
      <c r="N112" s="14"/>
    </row>
    <row r="113" spans="1:14" x14ac:dyDescent="0.25">
      <c r="A113" s="31"/>
      <c r="B113" s="1" t="s">
        <v>11</v>
      </c>
      <c r="C113" s="8">
        <v>8300</v>
      </c>
      <c r="D113" s="8"/>
      <c r="E113" s="9">
        <v>1000</v>
      </c>
      <c r="F113" s="9"/>
      <c r="G113" s="9"/>
      <c r="H113" s="9"/>
      <c r="I113" s="9">
        <v>2500</v>
      </c>
      <c r="J113" s="9"/>
      <c r="K113" s="9"/>
      <c r="L113" s="9"/>
      <c r="M113" s="9"/>
      <c r="N113" s="9"/>
    </row>
    <row r="114" spans="1:14" x14ac:dyDescent="0.25">
      <c r="A114" s="31"/>
      <c r="B114" s="2" t="s">
        <v>10</v>
      </c>
      <c r="C114" s="9">
        <v>6000</v>
      </c>
      <c r="D114" s="9"/>
      <c r="E114" s="8">
        <v>1000</v>
      </c>
      <c r="F114" s="8"/>
      <c r="G114" s="8"/>
      <c r="H114" s="8"/>
      <c r="I114" s="8">
        <v>1000</v>
      </c>
      <c r="J114" s="8"/>
      <c r="K114" s="8"/>
      <c r="L114" s="8"/>
      <c r="M114" s="8"/>
      <c r="N114" s="8"/>
    </row>
    <row r="115" spans="1:14" x14ac:dyDescent="0.25">
      <c r="A115" s="31"/>
      <c r="B115" s="1" t="s">
        <v>12</v>
      </c>
      <c r="C115" s="11">
        <v>9200</v>
      </c>
      <c r="D115" s="8"/>
      <c r="E115" s="10">
        <v>100</v>
      </c>
      <c r="F115" s="9"/>
      <c r="G115" s="10"/>
      <c r="H115" s="9"/>
      <c r="I115" s="10">
        <v>1100</v>
      </c>
      <c r="J115" s="9"/>
      <c r="K115" s="10"/>
      <c r="L115" s="9"/>
      <c r="M115" s="10"/>
      <c r="N115" s="9"/>
    </row>
    <row r="116" spans="1:14" x14ac:dyDescent="0.25">
      <c r="A116" s="31"/>
      <c r="B116" s="2" t="s">
        <v>4</v>
      </c>
      <c r="C116" s="9">
        <v>6500</v>
      </c>
      <c r="D116" s="9"/>
      <c r="E116" s="8">
        <v>2600</v>
      </c>
      <c r="F116" s="8"/>
      <c r="G116" s="8"/>
      <c r="H116" s="8"/>
      <c r="I116" s="8"/>
      <c r="J116" s="8"/>
      <c r="K116" s="8"/>
      <c r="L116" s="8"/>
      <c r="M116" s="8"/>
      <c r="N116" s="8"/>
    </row>
    <row r="117" spans="1:14" x14ac:dyDescent="0.25">
      <c r="A117" s="31"/>
      <c r="B117" s="1" t="s">
        <v>14</v>
      </c>
      <c r="C117" s="11">
        <v>8800</v>
      </c>
      <c r="D117" s="8"/>
      <c r="E117" s="10"/>
      <c r="F117" s="9"/>
      <c r="G117" s="10"/>
      <c r="H117" s="9"/>
      <c r="I117" s="10">
        <v>1000</v>
      </c>
      <c r="J117" s="9"/>
      <c r="K117" s="10"/>
      <c r="L117" s="9"/>
      <c r="M117" s="10"/>
      <c r="N117" s="9"/>
    </row>
    <row r="118" spans="1:14" x14ac:dyDescent="0.25">
      <c r="A118" s="31"/>
      <c r="B118" s="2"/>
      <c r="C118" s="9"/>
      <c r="D118" s="9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4" x14ac:dyDescent="0.25">
      <c r="A119" s="31"/>
      <c r="B119" s="1"/>
      <c r="C119" s="8"/>
      <c r="D119" s="8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 x14ac:dyDescent="0.25">
      <c r="A120" s="24">
        <f t="shared" ref="A120:A122" si="10">SUM(C120,E120,G120,I120,L120,K120,M120)</f>
        <v>49100</v>
      </c>
      <c r="B120" s="2" t="s">
        <v>5</v>
      </c>
      <c r="C120" s="4">
        <f>SUM(C112:C119)</f>
        <v>38800</v>
      </c>
      <c r="D120" s="2" t="s">
        <v>6</v>
      </c>
      <c r="E120" s="4">
        <f>SUM(E112:E119)</f>
        <v>4700</v>
      </c>
      <c r="F120" s="14" t="s">
        <v>6</v>
      </c>
      <c r="G120" s="4">
        <f>SUM(G112:G119)</f>
        <v>0</v>
      </c>
      <c r="H120" s="14" t="s">
        <v>6</v>
      </c>
      <c r="I120" s="4">
        <f>SUM(I112:I119)</f>
        <v>5600</v>
      </c>
      <c r="J120" s="14" t="s">
        <v>6</v>
      </c>
      <c r="K120" s="4">
        <f>SUM(K112:K119)</f>
        <v>0</v>
      </c>
      <c r="L120" s="14" t="s">
        <v>6</v>
      </c>
      <c r="M120" s="4">
        <f>SUM(M112:M119)</f>
        <v>0</v>
      </c>
      <c r="N120" s="14" t="s">
        <v>6</v>
      </c>
    </row>
    <row r="121" spans="1:14" x14ac:dyDescent="0.25">
      <c r="A121" s="24">
        <f t="shared" si="10"/>
        <v>4225</v>
      </c>
      <c r="B121" s="1" t="s">
        <v>7</v>
      </c>
      <c r="C121" s="5">
        <v>3177</v>
      </c>
      <c r="D121" s="1">
        <v>3075</v>
      </c>
      <c r="E121" s="5">
        <v>1048</v>
      </c>
      <c r="F121" s="14" t="s">
        <v>6</v>
      </c>
      <c r="G121" s="5"/>
      <c r="H121" s="14" t="s">
        <v>6</v>
      </c>
      <c r="I121" s="5"/>
      <c r="J121" s="14" t="s">
        <v>6</v>
      </c>
      <c r="K121" s="5"/>
      <c r="L121" s="14" t="s">
        <v>6</v>
      </c>
      <c r="M121" s="5"/>
      <c r="N121" s="14" t="s">
        <v>6</v>
      </c>
    </row>
    <row r="122" spans="1:14" x14ac:dyDescent="0.25">
      <c r="A122" s="24">
        <f t="shared" si="10"/>
        <v>44875</v>
      </c>
      <c r="B122" s="2" t="s">
        <v>8</v>
      </c>
      <c r="C122" s="6">
        <f>C120-C121</f>
        <v>35623</v>
      </c>
      <c r="D122" s="2"/>
      <c r="E122" s="6">
        <f>E120-E121</f>
        <v>3652</v>
      </c>
      <c r="F122" s="14" t="s">
        <v>6</v>
      </c>
      <c r="G122" s="6">
        <f>G120-G121</f>
        <v>0</v>
      </c>
      <c r="H122" s="14" t="s">
        <v>6</v>
      </c>
      <c r="I122" s="6">
        <f>I120-I121</f>
        <v>5600</v>
      </c>
      <c r="J122" s="14" t="s">
        <v>6</v>
      </c>
      <c r="K122" s="6">
        <f>K120-K121</f>
        <v>0</v>
      </c>
      <c r="L122" s="14" t="s">
        <v>6</v>
      </c>
      <c r="M122" s="6">
        <f>M120-M121</f>
        <v>0</v>
      </c>
      <c r="N122" s="14" t="s">
        <v>6</v>
      </c>
    </row>
    <row r="123" spans="1:14" x14ac:dyDescent="0.25">
      <c r="A123" s="35">
        <v>46277</v>
      </c>
      <c r="B123" s="1" t="s">
        <v>3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25">
      <c r="A124" s="31"/>
      <c r="B124" s="2" t="s">
        <v>15</v>
      </c>
      <c r="C124" s="9">
        <v>3100</v>
      </c>
      <c r="D124" s="9"/>
      <c r="E124" s="9">
        <v>3200</v>
      </c>
      <c r="F124" s="9"/>
      <c r="G124" s="9">
        <v>1000</v>
      </c>
      <c r="H124" s="9"/>
      <c r="I124" s="9">
        <v>1000</v>
      </c>
      <c r="J124" s="9"/>
      <c r="K124" s="9">
        <v>3700</v>
      </c>
      <c r="L124" s="9"/>
      <c r="M124" s="9"/>
      <c r="N124" s="9"/>
    </row>
    <row r="125" spans="1:14" x14ac:dyDescent="0.25">
      <c r="A125" s="31"/>
      <c r="B125" s="1" t="s">
        <v>16</v>
      </c>
      <c r="C125" s="8">
        <v>4400</v>
      </c>
      <c r="D125" s="8"/>
      <c r="E125" s="8">
        <v>1000</v>
      </c>
      <c r="F125" s="8"/>
      <c r="G125" s="8"/>
      <c r="H125" s="8"/>
      <c r="I125" s="8">
        <v>1000</v>
      </c>
      <c r="J125" s="8"/>
      <c r="K125" s="8"/>
      <c r="L125" s="8"/>
      <c r="M125" s="8"/>
      <c r="N125" s="8"/>
    </row>
    <row r="126" spans="1:14" x14ac:dyDescent="0.25">
      <c r="A126" s="31"/>
      <c r="B126" s="2" t="s">
        <v>10</v>
      </c>
      <c r="C126" s="10">
        <v>5600</v>
      </c>
      <c r="D126" s="9"/>
      <c r="E126" s="10">
        <v>2000</v>
      </c>
      <c r="F126" s="9"/>
      <c r="G126" s="10"/>
      <c r="H126" s="9"/>
      <c r="I126" s="10">
        <v>1000</v>
      </c>
      <c r="J126" s="9"/>
      <c r="K126" s="10"/>
      <c r="L126" s="9"/>
      <c r="M126" s="10"/>
      <c r="N126" s="9"/>
    </row>
    <row r="127" spans="1:14" x14ac:dyDescent="0.25">
      <c r="A127" s="31"/>
      <c r="B127" s="1" t="s">
        <v>12</v>
      </c>
      <c r="C127" s="8">
        <v>3900</v>
      </c>
      <c r="D127" s="8"/>
      <c r="E127" s="8">
        <v>1400</v>
      </c>
      <c r="F127" s="8"/>
      <c r="G127" s="8"/>
      <c r="H127" s="8"/>
      <c r="I127" s="8">
        <v>1000</v>
      </c>
      <c r="J127" s="8"/>
      <c r="K127" s="8"/>
      <c r="L127" s="8"/>
      <c r="M127" s="8"/>
      <c r="N127" s="8"/>
    </row>
    <row r="128" spans="1:14" x14ac:dyDescent="0.25">
      <c r="A128" s="31"/>
      <c r="B128" s="2" t="s">
        <v>14</v>
      </c>
      <c r="C128" s="10">
        <v>5900</v>
      </c>
      <c r="D128" s="9"/>
      <c r="E128" s="10">
        <v>100</v>
      </c>
      <c r="F128" s="9"/>
      <c r="G128" s="10"/>
      <c r="H128" s="9"/>
      <c r="I128" s="10">
        <v>1000</v>
      </c>
      <c r="J128" s="9"/>
      <c r="K128" s="10"/>
      <c r="L128" s="9"/>
      <c r="M128" s="10"/>
      <c r="N128" s="9"/>
    </row>
    <row r="129" spans="1:14" x14ac:dyDescent="0.25">
      <c r="A129" s="31"/>
      <c r="B129" s="1" t="s">
        <v>11</v>
      </c>
      <c r="C129" s="8"/>
      <c r="D129" s="8"/>
      <c r="E129" s="8">
        <v>1000</v>
      </c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25">
      <c r="A130" s="31"/>
      <c r="B130" s="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1:14" x14ac:dyDescent="0.25">
      <c r="A131" s="24">
        <f t="shared" ref="A131:A133" si="11">SUM(C131,E131,G131,I131,L131,K131,M131)</f>
        <v>41300</v>
      </c>
      <c r="B131" s="1" t="s">
        <v>5</v>
      </c>
      <c r="C131" s="4">
        <f>SUM(C123:C130)</f>
        <v>22900</v>
      </c>
      <c r="D131" s="1" t="s">
        <v>6</v>
      </c>
      <c r="E131" s="4">
        <f>SUM(E123:E130)</f>
        <v>8700</v>
      </c>
      <c r="F131" s="14" t="s">
        <v>6</v>
      </c>
      <c r="G131" s="4">
        <f>SUM(G123:G130)</f>
        <v>1000</v>
      </c>
      <c r="H131" s="14">
        <v>1200</v>
      </c>
      <c r="I131" s="4">
        <f>SUM(I123:I130)</f>
        <v>5000</v>
      </c>
      <c r="J131" s="14" t="s">
        <v>6</v>
      </c>
      <c r="K131" s="4">
        <f>SUM(K123:K130)</f>
        <v>3700</v>
      </c>
      <c r="L131" s="14" t="s">
        <v>6</v>
      </c>
      <c r="M131" s="4">
        <f>SUM(M123:M130)</f>
        <v>0</v>
      </c>
      <c r="N131" s="14" t="s">
        <v>6</v>
      </c>
    </row>
    <row r="132" spans="1:14" x14ac:dyDescent="0.25">
      <c r="A132" s="24">
        <f t="shared" si="11"/>
        <v>1810</v>
      </c>
      <c r="B132" s="2" t="s">
        <v>7</v>
      </c>
      <c r="C132" s="5">
        <v>1810</v>
      </c>
      <c r="D132" s="2" t="s">
        <v>6</v>
      </c>
      <c r="E132" s="5"/>
      <c r="F132" s="14" t="s">
        <v>6</v>
      </c>
      <c r="G132" s="5"/>
      <c r="H132" s="14" t="s">
        <v>6</v>
      </c>
      <c r="I132" s="5"/>
      <c r="J132" s="14" t="s">
        <v>6</v>
      </c>
      <c r="K132" s="5"/>
      <c r="L132" s="14" t="s">
        <v>6</v>
      </c>
      <c r="M132" s="5"/>
      <c r="N132" s="14" t="s">
        <v>6</v>
      </c>
    </row>
    <row r="133" spans="1:14" x14ac:dyDescent="0.25">
      <c r="A133" s="24">
        <f t="shared" si="11"/>
        <v>39490</v>
      </c>
      <c r="B133" s="1" t="s">
        <v>8</v>
      </c>
      <c r="C133" s="6">
        <f>C131-C132</f>
        <v>21090</v>
      </c>
      <c r="D133" s="1" t="s">
        <v>6</v>
      </c>
      <c r="E133" s="6">
        <f>E131-E132</f>
        <v>8700</v>
      </c>
      <c r="F133" s="14" t="s">
        <v>6</v>
      </c>
      <c r="G133" s="6">
        <f>G131-G132</f>
        <v>1000</v>
      </c>
      <c r="H133" s="14"/>
      <c r="I133" s="6">
        <f>I131-I132</f>
        <v>5000</v>
      </c>
      <c r="J133" s="14" t="s">
        <v>6</v>
      </c>
      <c r="K133" s="6">
        <f>K131-K132</f>
        <v>3700</v>
      </c>
      <c r="L133" s="14" t="s">
        <v>6</v>
      </c>
      <c r="M133" s="6">
        <f>M131-M132</f>
        <v>0</v>
      </c>
      <c r="N133" s="14" t="s">
        <v>6</v>
      </c>
    </row>
    <row r="134" spans="1:14" x14ac:dyDescent="0.25">
      <c r="A134" s="34">
        <v>46278</v>
      </c>
      <c r="B134" s="2" t="s">
        <v>15</v>
      </c>
      <c r="C134" s="9">
        <v>5300</v>
      </c>
      <c r="D134" s="9"/>
      <c r="E134" s="8">
        <v>1100</v>
      </c>
      <c r="F134" s="8"/>
      <c r="G134" s="8"/>
      <c r="H134" s="8"/>
      <c r="I134" s="8">
        <v>3500</v>
      </c>
      <c r="J134" s="8"/>
      <c r="K134" s="8"/>
      <c r="L134" s="8"/>
      <c r="M134" s="8"/>
      <c r="N134" s="8"/>
    </row>
    <row r="135" spans="1:14" x14ac:dyDescent="0.25">
      <c r="A135" s="31"/>
      <c r="B135" s="1" t="s">
        <v>10</v>
      </c>
      <c r="C135" s="8">
        <v>8200</v>
      </c>
      <c r="D135" s="8"/>
      <c r="E135" s="9">
        <v>2100</v>
      </c>
      <c r="F135" s="9"/>
      <c r="G135" s="9"/>
      <c r="H135" s="9"/>
      <c r="I135" s="9">
        <v>3100</v>
      </c>
      <c r="J135" s="9"/>
      <c r="K135" s="9"/>
      <c r="L135" s="9"/>
      <c r="M135" s="9"/>
      <c r="N135" s="9"/>
    </row>
    <row r="136" spans="1:14" x14ac:dyDescent="0.25">
      <c r="A136" s="31"/>
      <c r="B136" s="2" t="s">
        <v>13</v>
      </c>
      <c r="C136" s="9">
        <v>6300</v>
      </c>
      <c r="D136" s="9"/>
      <c r="E136" s="8"/>
      <c r="F136" s="8"/>
      <c r="G136" s="8"/>
      <c r="H136" s="8"/>
      <c r="I136" s="8">
        <v>4100</v>
      </c>
      <c r="J136" s="8"/>
      <c r="K136" s="8"/>
      <c r="L136" s="8"/>
      <c r="M136" s="8"/>
      <c r="N136" s="8"/>
    </row>
    <row r="137" spans="1:14" x14ac:dyDescent="0.25">
      <c r="A137" s="31"/>
      <c r="B137" s="1" t="s">
        <v>14</v>
      </c>
      <c r="C137" s="11">
        <v>8400</v>
      </c>
      <c r="D137" s="8"/>
      <c r="E137" s="10"/>
      <c r="F137" s="9"/>
      <c r="G137" s="10"/>
      <c r="H137" s="9"/>
      <c r="I137" s="10"/>
      <c r="J137" s="9"/>
      <c r="K137" s="10"/>
      <c r="L137" s="9"/>
      <c r="M137" s="10"/>
      <c r="N137" s="9"/>
    </row>
    <row r="138" spans="1:14" x14ac:dyDescent="0.25">
      <c r="A138" s="31"/>
      <c r="B138" s="2"/>
      <c r="C138" s="9"/>
      <c r="D138" s="9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4" x14ac:dyDescent="0.25">
      <c r="A139" s="31"/>
      <c r="B139" s="1"/>
      <c r="C139" s="11"/>
      <c r="D139" s="8"/>
      <c r="E139" s="10"/>
      <c r="F139" s="9"/>
      <c r="G139" s="10"/>
      <c r="H139" s="9"/>
      <c r="I139" s="10"/>
      <c r="J139" s="9"/>
      <c r="K139" s="10"/>
      <c r="L139" s="9"/>
      <c r="M139" s="10"/>
      <c r="N139" s="9"/>
    </row>
    <row r="140" spans="1:14" x14ac:dyDescent="0.25">
      <c r="A140" s="31"/>
      <c r="B140" s="2"/>
      <c r="C140" s="9"/>
      <c r="D140" s="9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1:14" x14ac:dyDescent="0.25">
      <c r="A141" s="31"/>
      <c r="B141" s="1"/>
      <c r="C141" s="8"/>
      <c r="D141" s="8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25">
      <c r="A142" s="23">
        <f t="shared" ref="A142:A144" si="12">SUM(C142,E142,G142,I142,L142,K142,M142)</f>
        <v>42100</v>
      </c>
      <c r="B142" s="2" t="s">
        <v>5</v>
      </c>
      <c r="C142" s="4">
        <f>SUM(C134:C141)</f>
        <v>28200</v>
      </c>
      <c r="D142" s="2" t="s">
        <v>6</v>
      </c>
      <c r="E142" s="4">
        <f>SUM(E134:E141)</f>
        <v>3200</v>
      </c>
      <c r="F142" s="14" t="s">
        <v>6</v>
      </c>
      <c r="G142" s="4">
        <f>SUM(G134:G141)</f>
        <v>0</v>
      </c>
      <c r="H142" s="14" t="s">
        <v>6</v>
      </c>
      <c r="I142" s="4">
        <f>SUM(I134:I141)</f>
        <v>10700</v>
      </c>
      <c r="J142" s="14" t="s">
        <v>6</v>
      </c>
      <c r="K142" s="4">
        <f>SUM(K134:K141)</f>
        <v>0</v>
      </c>
      <c r="L142" s="14" t="s">
        <v>6</v>
      </c>
      <c r="M142" s="4">
        <f>SUM(M134:M141)</f>
        <v>0</v>
      </c>
      <c r="N142" s="14" t="s">
        <v>6</v>
      </c>
    </row>
    <row r="143" spans="1:14" x14ac:dyDescent="0.25">
      <c r="A143" s="23">
        <f t="shared" si="12"/>
        <v>385</v>
      </c>
      <c r="B143" s="1" t="s">
        <v>7</v>
      </c>
      <c r="C143" s="5">
        <v>385</v>
      </c>
      <c r="D143" s="1" t="s">
        <v>6</v>
      </c>
      <c r="E143" s="5"/>
      <c r="F143" s="14" t="s">
        <v>6</v>
      </c>
      <c r="G143" s="5"/>
      <c r="H143" s="14" t="s">
        <v>6</v>
      </c>
      <c r="I143" s="5"/>
      <c r="J143" s="14" t="s">
        <v>6</v>
      </c>
      <c r="K143" s="5"/>
      <c r="L143" s="14" t="s">
        <v>6</v>
      </c>
      <c r="M143" s="5"/>
      <c r="N143" s="14" t="s">
        <v>6</v>
      </c>
    </row>
    <row r="144" spans="1:14" x14ac:dyDescent="0.25">
      <c r="A144" s="23">
        <f t="shared" si="12"/>
        <v>41715</v>
      </c>
      <c r="B144" s="2" t="s">
        <v>8</v>
      </c>
      <c r="C144" s="6">
        <f>C142-C143</f>
        <v>27815</v>
      </c>
      <c r="D144" s="2" t="s">
        <v>6</v>
      </c>
      <c r="E144" s="6">
        <f>E142-E143</f>
        <v>3200</v>
      </c>
      <c r="F144" s="14" t="s">
        <v>6</v>
      </c>
      <c r="G144" s="6">
        <f>G142-G143</f>
        <v>0</v>
      </c>
      <c r="H144" s="14" t="s">
        <v>6</v>
      </c>
      <c r="I144" s="6">
        <f>I142-I143</f>
        <v>10700</v>
      </c>
      <c r="J144" s="14" t="s">
        <v>6</v>
      </c>
      <c r="K144" s="6">
        <f>K142-K143</f>
        <v>0</v>
      </c>
      <c r="L144" s="14" t="s">
        <v>6</v>
      </c>
      <c r="M144" s="6">
        <f>M142-M143</f>
        <v>0</v>
      </c>
      <c r="N144" s="14" t="s">
        <v>6</v>
      </c>
    </row>
    <row r="145" spans="1:19" x14ac:dyDescent="0.25">
      <c r="A145" s="37">
        <v>46279</v>
      </c>
      <c r="B145" s="1" t="s">
        <v>3</v>
      </c>
      <c r="C145" s="8"/>
      <c r="D145" s="8"/>
      <c r="E145" s="8"/>
      <c r="F145" s="8"/>
      <c r="G145" s="8"/>
      <c r="H145" s="8"/>
      <c r="I145" s="8">
        <v>1000</v>
      </c>
      <c r="J145" s="8"/>
      <c r="K145" s="8"/>
      <c r="L145" s="8"/>
      <c r="M145" s="8"/>
      <c r="N145" s="8"/>
    </row>
    <row r="146" spans="1:19" x14ac:dyDescent="0.25">
      <c r="A146" s="31"/>
      <c r="B146" s="2" t="s">
        <v>15</v>
      </c>
      <c r="C146" s="9">
        <v>9400</v>
      </c>
      <c r="D146" s="9"/>
      <c r="E146" s="9"/>
      <c r="F146" s="9"/>
      <c r="G146" s="9"/>
      <c r="H146" s="9"/>
      <c r="I146" s="9">
        <v>1000</v>
      </c>
      <c r="J146" s="9"/>
      <c r="K146" s="9"/>
      <c r="L146" s="9"/>
      <c r="M146" s="9"/>
      <c r="N146" s="9"/>
    </row>
    <row r="147" spans="1:19" x14ac:dyDescent="0.25">
      <c r="A147" s="31"/>
      <c r="B147" s="1" t="s">
        <v>11</v>
      </c>
      <c r="C147" s="8">
        <v>5500</v>
      </c>
      <c r="D147" s="8"/>
      <c r="E147" s="8">
        <v>2900</v>
      </c>
      <c r="F147" s="8"/>
      <c r="G147" s="8"/>
      <c r="H147" s="8"/>
      <c r="I147" s="8"/>
      <c r="J147" s="8"/>
      <c r="K147" s="8"/>
      <c r="L147" s="8"/>
      <c r="M147" s="8"/>
      <c r="N147" s="8"/>
    </row>
    <row r="148" spans="1:19" x14ac:dyDescent="0.25">
      <c r="A148" s="31"/>
      <c r="B148" s="2" t="s">
        <v>10</v>
      </c>
      <c r="C148" s="10">
        <v>7200</v>
      </c>
      <c r="D148" s="9"/>
      <c r="E148" s="10"/>
      <c r="F148" s="9"/>
      <c r="G148" s="10">
        <v>1000</v>
      </c>
      <c r="H148" s="9"/>
      <c r="I148" s="10"/>
      <c r="J148" s="9"/>
      <c r="K148" s="10"/>
      <c r="L148" s="9"/>
      <c r="M148" s="10"/>
      <c r="N148" s="9"/>
    </row>
    <row r="149" spans="1:19" x14ac:dyDescent="0.25">
      <c r="A149" s="31"/>
      <c r="B149" s="1" t="s">
        <v>14</v>
      </c>
      <c r="C149" s="8">
        <v>7300</v>
      </c>
      <c r="D149" s="8"/>
      <c r="E149" s="8"/>
      <c r="F149" s="8"/>
      <c r="G149" s="8">
        <v>500</v>
      </c>
      <c r="H149" s="8"/>
      <c r="I149" s="8"/>
      <c r="J149" s="8"/>
      <c r="K149" s="8"/>
      <c r="L149" s="8"/>
      <c r="M149" s="8"/>
      <c r="N149" s="8"/>
    </row>
    <row r="150" spans="1:19" x14ac:dyDescent="0.25">
      <c r="A150" s="31"/>
      <c r="B150" s="2" t="s">
        <v>13</v>
      </c>
      <c r="C150" s="10">
        <v>8100</v>
      </c>
      <c r="D150" s="9"/>
      <c r="E150" s="10">
        <v>1000</v>
      </c>
      <c r="F150" s="9"/>
      <c r="G150" s="10"/>
      <c r="H150" s="9"/>
      <c r="I150" s="10">
        <v>1200</v>
      </c>
      <c r="J150" s="9"/>
      <c r="K150" s="10"/>
      <c r="L150" s="9"/>
      <c r="M150" s="10"/>
      <c r="N150" s="9"/>
    </row>
    <row r="151" spans="1:19" x14ac:dyDescent="0.25">
      <c r="A151" s="31"/>
      <c r="B151" s="1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9" x14ac:dyDescent="0.25">
      <c r="A152" s="31"/>
      <c r="B152" s="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1:19" x14ac:dyDescent="0.25">
      <c r="A153" s="26">
        <f t="shared" ref="A153:A155" si="13">SUM(C153,E153,G153,I153,L153,K153,M153)</f>
        <v>46100</v>
      </c>
      <c r="B153" s="1" t="s">
        <v>5</v>
      </c>
      <c r="C153" s="4">
        <f>SUM(C145:C152)</f>
        <v>37500</v>
      </c>
      <c r="D153" s="1" t="s">
        <v>6</v>
      </c>
      <c r="E153" s="4">
        <f>SUM(E145:E152)</f>
        <v>3900</v>
      </c>
      <c r="F153" s="14" t="s">
        <v>6</v>
      </c>
      <c r="G153" s="4">
        <f>SUM(G145:G152)</f>
        <v>1500</v>
      </c>
      <c r="H153" s="14" t="s">
        <v>6</v>
      </c>
      <c r="I153" s="4">
        <f>SUM(I145:I152)</f>
        <v>3200</v>
      </c>
      <c r="J153" s="14" t="s">
        <v>6</v>
      </c>
      <c r="K153" s="4">
        <f>SUM(K145:K152)</f>
        <v>0</v>
      </c>
      <c r="L153" s="14" t="s">
        <v>6</v>
      </c>
      <c r="M153" s="4">
        <f>SUM(M145:M152)</f>
        <v>0</v>
      </c>
      <c r="N153" s="14" t="s">
        <v>6</v>
      </c>
    </row>
    <row r="154" spans="1:19" x14ac:dyDescent="0.25">
      <c r="A154" s="26">
        <f t="shared" si="13"/>
        <v>0</v>
      </c>
      <c r="B154" s="2" t="s">
        <v>7</v>
      </c>
      <c r="C154" s="5"/>
      <c r="D154" s="2" t="s">
        <v>6</v>
      </c>
      <c r="E154" s="5"/>
      <c r="F154" s="14" t="s">
        <v>6</v>
      </c>
      <c r="G154" s="5"/>
      <c r="H154" s="15"/>
      <c r="I154" s="5"/>
      <c r="J154" s="14" t="s">
        <v>6</v>
      </c>
      <c r="K154" s="5"/>
      <c r="L154" s="14" t="s">
        <v>6</v>
      </c>
      <c r="M154" s="5"/>
      <c r="N154" s="14" t="s">
        <v>6</v>
      </c>
    </row>
    <row r="155" spans="1:19" x14ac:dyDescent="0.25">
      <c r="A155" s="26">
        <f t="shared" si="13"/>
        <v>46100</v>
      </c>
      <c r="B155" s="1" t="s">
        <v>8</v>
      </c>
      <c r="C155" s="6">
        <f>C153-C154</f>
        <v>37500</v>
      </c>
      <c r="D155" s="1" t="s">
        <v>6</v>
      </c>
      <c r="E155" s="6">
        <f>E153-E154</f>
        <v>3900</v>
      </c>
      <c r="F155" s="14" t="s">
        <v>6</v>
      </c>
      <c r="G155" s="6">
        <f>G153-G154</f>
        <v>1500</v>
      </c>
      <c r="H155" s="16"/>
      <c r="I155" s="6">
        <f>I153-I154</f>
        <v>3200</v>
      </c>
      <c r="J155" s="14" t="s">
        <v>6</v>
      </c>
      <c r="K155" s="6">
        <f>K153-K154</f>
        <v>0</v>
      </c>
      <c r="L155" s="14" t="s">
        <v>6</v>
      </c>
      <c r="M155" s="6">
        <f>M153-M154</f>
        <v>0</v>
      </c>
      <c r="N155" s="14" t="s">
        <v>6</v>
      </c>
    </row>
    <row r="156" spans="1:19" x14ac:dyDescent="0.25">
      <c r="A156" s="35">
        <v>46280</v>
      </c>
      <c r="B156" s="2" t="s">
        <v>3</v>
      </c>
      <c r="C156" s="9"/>
      <c r="D156" s="9"/>
      <c r="E156" s="8">
        <v>250</v>
      </c>
      <c r="F156" s="8"/>
      <c r="G156" s="8"/>
      <c r="H156" s="8"/>
      <c r="I156" s="8"/>
      <c r="J156" s="8"/>
      <c r="K156" s="8"/>
      <c r="L156" s="8"/>
      <c r="M156" s="8"/>
      <c r="N156" s="8"/>
    </row>
    <row r="157" spans="1:19" x14ac:dyDescent="0.25">
      <c r="A157" s="31"/>
      <c r="B157" s="1" t="s">
        <v>15</v>
      </c>
      <c r="C157" s="8">
        <v>13500</v>
      </c>
      <c r="D157" s="8"/>
      <c r="E157" s="9">
        <v>1100</v>
      </c>
      <c r="F157" s="9"/>
      <c r="G157" s="9">
        <v>5600</v>
      </c>
      <c r="H157" s="9"/>
      <c r="I157" s="9">
        <v>1500</v>
      </c>
      <c r="J157" s="9"/>
      <c r="K157" s="9"/>
      <c r="L157" s="9"/>
      <c r="M157" s="9"/>
      <c r="N157" s="9"/>
      <c r="P157" s="12">
        <v>8115</v>
      </c>
      <c r="Q157" s="27"/>
      <c r="R157" s="28" t="s">
        <v>26</v>
      </c>
      <c r="S157" s="13"/>
    </row>
    <row r="158" spans="1:19" x14ac:dyDescent="0.25">
      <c r="A158" s="31"/>
      <c r="B158" s="2" t="s">
        <v>11</v>
      </c>
      <c r="C158" s="9">
        <v>15800</v>
      </c>
      <c r="D158" s="9"/>
      <c r="E158" s="8">
        <v>2100</v>
      </c>
      <c r="F158" s="8"/>
      <c r="G158" s="8"/>
      <c r="H158" s="8"/>
      <c r="I158" s="8">
        <v>1200</v>
      </c>
      <c r="J158" s="8"/>
      <c r="K158" s="8"/>
      <c r="L158" s="8"/>
      <c r="M158" s="8"/>
      <c r="N158" s="8"/>
      <c r="P158" s="12">
        <v>1015</v>
      </c>
      <c r="Q158" s="29"/>
      <c r="R158" s="30" t="s">
        <v>27</v>
      </c>
      <c r="S158" s="13"/>
    </row>
    <row r="159" spans="1:19" x14ac:dyDescent="0.25">
      <c r="A159" s="31"/>
      <c r="B159" s="1" t="s">
        <v>10</v>
      </c>
      <c r="C159" s="11">
        <v>4100</v>
      </c>
      <c r="D159" s="8"/>
      <c r="E159" s="10">
        <v>6200</v>
      </c>
      <c r="F159" s="9"/>
      <c r="G159" s="10"/>
      <c r="H159" s="9"/>
      <c r="I159" s="10">
        <v>100</v>
      </c>
      <c r="J159" s="9"/>
      <c r="K159" s="10"/>
      <c r="L159" s="9"/>
      <c r="M159" s="10"/>
      <c r="N159" s="9"/>
    </row>
    <row r="160" spans="1:19" x14ac:dyDescent="0.25">
      <c r="A160" s="31"/>
      <c r="B160" s="2" t="s">
        <v>14</v>
      </c>
      <c r="C160" s="9">
        <v>5200</v>
      </c>
      <c r="D160" s="9"/>
      <c r="E160" s="8">
        <v>4500</v>
      </c>
      <c r="F160" s="8"/>
      <c r="G160" s="8">
        <v>1100</v>
      </c>
      <c r="H160" s="8"/>
      <c r="I160" s="8">
        <v>2000</v>
      </c>
      <c r="J160" s="8"/>
      <c r="K160" s="8"/>
      <c r="L160" s="8"/>
      <c r="M160" s="8"/>
      <c r="N160" s="8"/>
    </row>
    <row r="161" spans="1:15" x14ac:dyDescent="0.25">
      <c r="A161" s="31"/>
      <c r="B161" s="1"/>
      <c r="C161" s="11"/>
      <c r="D161" s="8"/>
      <c r="E161" s="10"/>
      <c r="F161" s="9"/>
      <c r="G161" s="10"/>
      <c r="H161" s="9"/>
      <c r="I161" s="10"/>
      <c r="J161" s="9"/>
      <c r="K161" s="10"/>
      <c r="L161" s="9"/>
      <c r="M161" s="10"/>
      <c r="N161" s="9"/>
    </row>
    <row r="162" spans="1:15" x14ac:dyDescent="0.25">
      <c r="A162" s="31"/>
      <c r="B162" s="2"/>
      <c r="C162" s="9"/>
      <c r="D162" s="9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1:15" x14ac:dyDescent="0.25">
      <c r="A163" s="31"/>
      <c r="B163" s="1"/>
      <c r="C163" s="8"/>
      <c r="D163" s="8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5" x14ac:dyDescent="0.25">
      <c r="A164" s="24">
        <f t="shared" ref="A164:A166" si="14">SUM(C164,E164,G164,I164,L164,K164,M164)</f>
        <v>64250</v>
      </c>
      <c r="B164" s="2" t="s">
        <v>5</v>
      </c>
      <c r="C164" s="4">
        <f>SUM(C156:C163)</f>
        <v>38600</v>
      </c>
      <c r="D164" s="2" t="s">
        <v>6</v>
      </c>
      <c r="E164" s="4">
        <f>SUM(E156:E163)</f>
        <v>14150</v>
      </c>
      <c r="F164" s="14" t="s">
        <v>6</v>
      </c>
      <c r="G164" s="4">
        <f>SUM(G156:G163)</f>
        <v>6700</v>
      </c>
      <c r="H164" s="14" t="s">
        <v>6</v>
      </c>
      <c r="I164" s="4">
        <f>SUM(I156:I163)</f>
        <v>4800</v>
      </c>
      <c r="J164" s="14" t="s">
        <v>6</v>
      </c>
      <c r="K164" s="4">
        <f>SUM(K156:K163)</f>
        <v>0</v>
      </c>
      <c r="L164" s="14" t="s">
        <v>6</v>
      </c>
      <c r="M164" s="4">
        <f>SUM(M156:M163)</f>
        <v>0</v>
      </c>
      <c r="N164" s="14" t="s">
        <v>6</v>
      </c>
    </row>
    <row r="165" spans="1:15" x14ac:dyDescent="0.25">
      <c r="A165" s="24">
        <f t="shared" si="14"/>
        <v>184</v>
      </c>
      <c r="B165" s="1" t="s">
        <v>7</v>
      </c>
      <c r="C165" s="5">
        <v>85</v>
      </c>
      <c r="D165" s="1" t="s">
        <v>6</v>
      </c>
      <c r="E165" s="5">
        <v>99</v>
      </c>
      <c r="F165" s="14" t="s">
        <v>6</v>
      </c>
      <c r="G165" s="5"/>
      <c r="H165" s="14" t="s">
        <v>6</v>
      </c>
      <c r="I165" s="5"/>
      <c r="J165" s="14" t="s">
        <v>6</v>
      </c>
      <c r="K165" s="5"/>
      <c r="L165" s="14" t="s">
        <v>6</v>
      </c>
      <c r="M165" s="5"/>
      <c r="N165" s="14" t="s">
        <v>6</v>
      </c>
    </row>
    <row r="166" spans="1:15" x14ac:dyDescent="0.25">
      <c r="A166" s="24">
        <f t="shared" si="14"/>
        <v>64066</v>
      </c>
      <c r="B166" s="2" t="s">
        <v>8</v>
      </c>
      <c r="C166" s="6">
        <f>C164-C165</f>
        <v>38515</v>
      </c>
      <c r="D166" s="2" t="s">
        <v>6</v>
      </c>
      <c r="E166" s="6">
        <f>E164-E165</f>
        <v>14051</v>
      </c>
      <c r="F166" s="14" t="s">
        <v>6</v>
      </c>
      <c r="G166" s="6">
        <f>G164-G165</f>
        <v>6700</v>
      </c>
      <c r="H166" s="14" t="s">
        <v>6</v>
      </c>
      <c r="I166" s="6">
        <f>I164-I165</f>
        <v>4800</v>
      </c>
      <c r="J166" s="14" t="s">
        <v>6</v>
      </c>
      <c r="K166" s="6">
        <f>K164-K165</f>
        <v>0</v>
      </c>
      <c r="L166" s="14" t="s">
        <v>6</v>
      </c>
      <c r="M166" s="6">
        <f>M164-M165</f>
        <v>0</v>
      </c>
      <c r="N166" s="14" t="s">
        <v>6</v>
      </c>
    </row>
    <row r="167" spans="1:15" x14ac:dyDescent="0.25">
      <c r="A167" s="35">
        <v>46281</v>
      </c>
      <c r="B167" s="2" t="s">
        <v>3</v>
      </c>
      <c r="C167" s="9"/>
      <c r="D167" s="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x14ac:dyDescent="0.25">
      <c r="A168" s="31"/>
      <c r="B168" s="1" t="s">
        <v>15</v>
      </c>
      <c r="C168" s="8">
        <v>100</v>
      </c>
      <c r="D168" s="8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x14ac:dyDescent="0.25">
      <c r="A169" s="31"/>
      <c r="B169" s="2" t="s">
        <v>11</v>
      </c>
      <c r="C169" s="9">
        <v>7900</v>
      </c>
      <c r="D169" s="9"/>
      <c r="E169" s="8">
        <v>3100</v>
      </c>
      <c r="F169" s="8"/>
      <c r="G169" s="8"/>
      <c r="H169" s="8"/>
      <c r="I169" s="8">
        <v>1000</v>
      </c>
      <c r="J169" s="8"/>
      <c r="K169" s="8">
        <v>1500</v>
      </c>
      <c r="L169" s="8"/>
      <c r="M169" s="8"/>
      <c r="N169" s="8"/>
      <c r="O169" s="8"/>
    </row>
    <row r="170" spans="1:15" x14ac:dyDescent="0.25">
      <c r="A170" s="31"/>
      <c r="B170" s="1" t="s">
        <v>13</v>
      </c>
      <c r="C170" s="11">
        <v>12400</v>
      </c>
      <c r="D170" s="8"/>
      <c r="E170" s="10">
        <v>1500</v>
      </c>
      <c r="F170" s="9"/>
      <c r="G170" s="10"/>
      <c r="H170" s="9"/>
      <c r="I170" s="10"/>
      <c r="J170" s="9"/>
      <c r="K170" s="10"/>
      <c r="L170" s="9"/>
      <c r="M170" s="10"/>
      <c r="N170" s="9"/>
      <c r="O170" s="9"/>
    </row>
    <row r="171" spans="1:15" x14ac:dyDescent="0.25">
      <c r="A171" s="31"/>
      <c r="B171" s="2" t="s">
        <v>12</v>
      </c>
      <c r="C171" s="9">
        <v>8400</v>
      </c>
      <c r="D171" s="9"/>
      <c r="E171" s="8">
        <v>3000</v>
      </c>
      <c r="F171" s="8"/>
      <c r="G171" s="8"/>
      <c r="H171" s="8"/>
      <c r="I171" s="8">
        <v>2100</v>
      </c>
      <c r="J171" s="8"/>
      <c r="K171" s="8"/>
      <c r="L171" s="8"/>
      <c r="M171" s="8"/>
      <c r="N171" s="8"/>
      <c r="O171" s="8"/>
    </row>
    <row r="172" spans="1:15" x14ac:dyDescent="0.25">
      <c r="A172" s="31"/>
      <c r="B172" s="1" t="s">
        <v>18</v>
      </c>
      <c r="C172" s="11">
        <v>1000</v>
      </c>
      <c r="D172" s="8"/>
      <c r="E172" s="10">
        <v>1000</v>
      </c>
      <c r="F172" s="9"/>
      <c r="G172" s="10"/>
      <c r="H172" s="9"/>
      <c r="I172" s="10">
        <v>1000</v>
      </c>
      <c r="J172" s="9"/>
      <c r="K172" s="10"/>
      <c r="L172" s="9"/>
      <c r="M172" s="10"/>
      <c r="N172" s="9"/>
      <c r="O172" s="9"/>
    </row>
    <row r="173" spans="1:15" x14ac:dyDescent="0.25">
      <c r="A173" s="31"/>
      <c r="B173" s="2" t="s">
        <v>28</v>
      </c>
      <c r="C173" s="9">
        <v>9600</v>
      </c>
      <c r="D173" s="9"/>
      <c r="E173" s="8"/>
      <c r="F173" s="8"/>
      <c r="G173" s="8"/>
      <c r="H173" s="8"/>
      <c r="I173" s="8"/>
      <c r="J173" s="8"/>
      <c r="K173" s="8">
        <v>2000</v>
      </c>
      <c r="L173" s="8"/>
      <c r="M173" s="8"/>
      <c r="N173" s="8"/>
      <c r="O173" s="8"/>
    </row>
    <row r="174" spans="1:15" x14ac:dyDescent="0.25">
      <c r="A174" s="31"/>
      <c r="B174" s="1"/>
      <c r="C174" s="8"/>
      <c r="D174" s="8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x14ac:dyDescent="0.25">
      <c r="A175" s="24">
        <f t="shared" ref="A175:A177" si="15">SUM(C175,E175,G175,I175,L175,K175,M175)</f>
        <v>55600</v>
      </c>
      <c r="B175" s="2" t="s">
        <v>5</v>
      </c>
      <c r="C175" s="4">
        <f>SUM(C167:C174)</f>
        <v>39400</v>
      </c>
      <c r="D175" s="2" t="s">
        <v>6</v>
      </c>
      <c r="E175" s="4">
        <f>SUM(E167:E174)</f>
        <v>8600</v>
      </c>
      <c r="F175" s="14" t="s">
        <v>6</v>
      </c>
      <c r="G175" s="4">
        <f>SUM(G167:G174)</f>
        <v>0</v>
      </c>
      <c r="H175" s="14" t="s">
        <v>6</v>
      </c>
      <c r="I175" s="4">
        <f>SUM(I167:I174)</f>
        <v>4100</v>
      </c>
      <c r="J175" s="14" t="s">
        <v>6</v>
      </c>
      <c r="K175" s="4">
        <f>SUM(K167:K174)</f>
        <v>3500</v>
      </c>
      <c r="L175" s="14" t="s">
        <v>6</v>
      </c>
      <c r="M175" s="4">
        <f>SUM(M167:M174)</f>
        <v>0</v>
      </c>
      <c r="N175" s="14" t="s">
        <v>6</v>
      </c>
      <c r="O175" s="14"/>
    </row>
    <row r="176" spans="1:15" x14ac:dyDescent="0.25">
      <c r="A176" s="24">
        <f t="shared" si="15"/>
        <v>3900</v>
      </c>
      <c r="B176" s="1" t="s">
        <v>7</v>
      </c>
      <c r="C176" s="5">
        <v>3900</v>
      </c>
      <c r="D176" s="1">
        <v>0</v>
      </c>
      <c r="E176" s="5"/>
      <c r="F176" s="14">
        <v>0</v>
      </c>
      <c r="G176" s="5"/>
      <c r="H176" s="14" t="s">
        <v>6</v>
      </c>
      <c r="I176" s="5"/>
      <c r="J176" s="14" t="s">
        <v>6</v>
      </c>
      <c r="K176" s="5"/>
      <c r="L176" s="14" t="s">
        <v>6</v>
      </c>
      <c r="M176" s="5"/>
      <c r="N176" s="14" t="s">
        <v>6</v>
      </c>
      <c r="O176" s="14"/>
    </row>
    <row r="177" spans="1:15" x14ac:dyDescent="0.25">
      <c r="A177" s="24">
        <f t="shared" si="15"/>
        <v>51700</v>
      </c>
      <c r="B177" s="2" t="s">
        <v>8</v>
      </c>
      <c r="C177" s="6">
        <f>C175-C176</f>
        <v>35500</v>
      </c>
      <c r="D177" s="2"/>
      <c r="E177" s="6">
        <f>E175-E176</f>
        <v>8600</v>
      </c>
      <c r="F177" s="14"/>
      <c r="G177" s="6">
        <f>G175-G176</f>
        <v>0</v>
      </c>
      <c r="H177" s="14" t="s">
        <v>6</v>
      </c>
      <c r="I177" s="6">
        <f>I175-I176</f>
        <v>4100</v>
      </c>
      <c r="J177" s="14" t="s">
        <v>6</v>
      </c>
      <c r="K177" s="6">
        <f>K175-K176</f>
        <v>3500</v>
      </c>
      <c r="L177" s="14" t="s">
        <v>6</v>
      </c>
      <c r="M177" s="6">
        <f>M175-M176</f>
        <v>0</v>
      </c>
      <c r="N177" s="14" t="s">
        <v>6</v>
      </c>
      <c r="O177" s="14"/>
    </row>
    <row r="178" spans="1:15" x14ac:dyDescent="0.25">
      <c r="A178" s="34">
        <v>46282</v>
      </c>
      <c r="B178" s="1" t="s">
        <v>15</v>
      </c>
      <c r="C178" s="8">
        <v>4000</v>
      </c>
      <c r="D178" s="8"/>
      <c r="E178" s="8">
        <v>1500</v>
      </c>
      <c r="F178" s="8"/>
      <c r="G178" s="8">
        <v>1000</v>
      </c>
      <c r="H178" s="8"/>
      <c r="I178" s="8"/>
      <c r="J178" s="8"/>
      <c r="K178" s="8"/>
      <c r="L178" s="8"/>
      <c r="M178" s="8"/>
      <c r="N178" s="14"/>
      <c r="O178" s="14"/>
    </row>
    <row r="179" spans="1:15" x14ac:dyDescent="0.25">
      <c r="A179" s="31"/>
      <c r="B179" s="2" t="s">
        <v>13</v>
      </c>
      <c r="C179" s="9">
        <v>7700</v>
      </c>
      <c r="D179" s="9"/>
      <c r="E179" s="9">
        <v>1000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spans="1:15" x14ac:dyDescent="0.25">
      <c r="A180" s="31"/>
      <c r="B180" s="1" t="s">
        <v>11</v>
      </c>
      <c r="C180" s="8">
        <v>6100</v>
      </c>
      <c r="D180" s="8"/>
      <c r="E180" s="8">
        <v>5000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x14ac:dyDescent="0.25">
      <c r="A181" s="31"/>
      <c r="B181" s="2" t="s">
        <v>28</v>
      </c>
      <c r="C181" s="10">
        <v>4000</v>
      </c>
      <c r="D181" s="9"/>
      <c r="E181" s="10">
        <v>3500</v>
      </c>
      <c r="F181" s="9"/>
      <c r="G181" s="10"/>
      <c r="H181" s="9"/>
      <c r="I181" s="10"/>
      <c r="J181" s="9"/>
      <c r="K181" s="10"/>
      <c r="L181" s="9"/>
      <c r="M181" s="10"/>
      <c r="N181" s="9"/>
      <c r="O181" s="9"/>
    </row>
    <row r="182" spans="1:15" x14ac:dyDescent="0.25">
      <c r="A182" s="31"/>
      <c r="B182" s="1" t="s">
        <v>12</v>
      </c>
      <c r="C182" s="8">
        <v>4100</v>
      </c>
      <c r="D182" s="8"/>
      <c r="E182" s="8">
        <v>6300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x14ac:dyDescent="0.25">
      <c r="A183" s="31"/>
      <c r="B183" s="2" t="s">
        <v>10</v>
      </c>
      <c r="C183" s="10">
        <v>100</v>
      </c>
      <c r="D183" s="9"/>
      <c r="E183" s="10"/>
      <c r="F183" s="9"/>
      <c r="G183" s="10"/>
      <c r="H183" s="9"/>
      <c r="I183" s="10"/>
      <c r="J183" s="9"/>
      <c r="K183" s="10"/>
      <c r="L183" s="9"/>
      <c r="M183" s="10"/>
      <c r="N183" s="9"/>
      <c r="O183" s="9"/>
    </row>
    <row r="184" spans="1:15" x14ac:dyDescent="0.25">
      <c r="A184" s="31"/>
      <c r="B184" s="1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x14ac:dyDescent="0.25">
      <c r="A185" s="31"/>
      <c r="B185" s="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spans="1:15" x14ac:dyDescent="0.25">
      <c r="A186" s="31"/>
      <c r="B186" s="1" t="s">
        <v>5</v>
      </c>
      <c r="C186" s="4">
        <f>SUM(C178:C185)</f>
        <v>26000</v>
      </c>
      <c r="D186" s="1"/>
      <c r="E186" s="4">
        <f>SUM(E178:E185)</f>
        <v>17300</v>
      </c>
      <c r="F186" s="14"/>
      <c r="G186" s="4">
        <f>SUM(G178:G185)</f>
        <v>1000</v>
      </c>
      <c r="H186" s="14"/>
      <c r="I186" s="4">
        <f>SUM(I178:I185)</f>
        <v>0</v>
      </c>
      <c r="J186" s="14"/>
      <c r="K186" s="4">
        <f>SUM(K178:K185)</f>
        <v>0</v>
      </c>
      <c r="L186" s="14"/>
      <c r="M186" s="4">
        <f>SUM(M178:M185)</f>
        <v>0</v>
      </c>
      <c r="N186" s="14"/>
      <c r="O186" s="14"/>
    </row>
    <row r="187" spans="1:15" x14ac:dyDescent="0.25">
      <c r="A187" s="31"/>
      <c r="B187" s="2" t="s">
        <v>7</v>
      </c>
      <c r="C187" s="5">
        <v>148</v>
      </c>
      <c r="D187" s="2"/>
      <c r="E187" s="5">
        <v>1500</v>
      </c>
      <c r="F187" s="14"/>
      <c r="G187" s="5"/>
      <c r="H187" s="14"/>
      <c r="I187" s="5"/>
      <c r="J187" s="14"/>
      <c r="K187" s="5"/>
      <c r="L187" s="14"/>
      <c r="M187" s="5"/>
      <c r="N187" s="14"/>
      <c r="O187" s="14"/>
    </row>
    <row r="188" spans="1:15" x14ac:dyDescent="0.25">
      <c r="A188" s="31"/>
      <c r="B188" s="1" t="s">
        <v>8</v>
      </c>
      <c r="C188" s="6">
        <f>C186-C187</f>
        <v>25852</v>
      </c>
      <c r="D188" s="1"/>
      <c r="E188" s="6">
        <f>E186-E187</f>
        <v>15800</v>
      </c>
      <c r="F188" s="14"/>
      <c r="G188" s="6">
        <f>G186-G187</f>
        <v>1000</v>
      </c>
      <c r="H188" s="14"/>
      <c r="I188" s="6">
        <f>I186-I187</f>
        <v>0</v>
      </c>
      <c r="J188" s="14"/>
      <c r="K188" s="6">
        <f>K186-K187</f>
        <v>0</v>
      </c>
      <c r="L188" s="14"/>
      <c r="M188" s="6">
        <f>M186-M187</f>
        <v>0</v>
      </c>
      <c r="N188" s="14"/>
      <c r="O188" s="14"/>
    </row>
    <row r="189" spans="1:15" x14ac:dyDescent="0.25">
      <c r="A189" s="33">
        <v>46160</v>
      </c>
      <c r="B189" s="2" t="s">
        <v>3</v>
      </c>
      <c r="C189" s="9"/>
      <c r="D189" s="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x14ac:dyDescent="0.25">
      <c r="A190" s="31"/>
      <c r="B190" s="1" t="s">
        <v>10</v>
      </c>
      <c r="C190" s="8"/>
      <c r="D190" s="8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1:15" x14ac:dyDescent="0.25">
      <c r="A191" s="31"/>
      <c r="B191" s="2" t="s">
        <v>4</v>
      </c>
      <c r="C191" s="9"/>
      <c r="D191" s="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x14ac:dyDescent="0.25">
      <c r="A192" s="31"/>
      <c r="B192" s="1" t="s">
        <v>15</v>
      </c>
      <c r="C192" s="11"/>
      <c r="D192" s="8"/>
      <c r="E192" s="10"/>
      <c r="F192" s="9"/>
      <c r="G192" s="10"/>
      <c r="H192" s="9"/>
      <c r="I192" s="10"/>
      <c r="J192" s="9"/>
      <c r="K192" s="10"/>
      <c r="L192" s="9"/>
      <c r="M192" s="10"/>
      <c r="N192" s="9"/>
      <c r="O192" s="9"/>
    </row>
    <row r="193" spans="1:15" x14ac:dyDescent="0.25">
      <c r="A193" s="31"/>
      <c r="B193" s="2" t="s">
        <v>13</v>
      </c>
      <c r="C193" s="9"/>
      <c r="D193" s="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x14ac:dyDescent="0.25">
      <c r="A194" s="31"/>
      <c r="B194" s="1" t="s">
        <v>11</v>
      </c>
      <c r="C194" s="11"/>
      <c r="D194" s="8"/>
      <c r="E194" s="10"/>
      <c r="F194" s="9"/>
      <c r="G194" s="10"/>
      <c r="H194" s="9"/>
      <c r="I194" s="10"/>
      <c r="J194" s="9"/>
      <c r="K194" s="10"/>
      <c r="L194" s="9"/>
      <c r="M194" s="10"/>
      <c r="N194" s="9"/>
      <c r="O194" s="9"/>
    </row>
    <row r="195" spans="1:15" x14ac:dyDescent="0.25">
      <c r="A195" s="31"/>
      <c r="B195" s="2"/>
      <c r="C195" s="9"/>
      <c r="D195" s="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x14ac:dyDescent="0.25">
      <c r="A196" s="31"/>
      <c r="B196" s="1"/>
      <c r="C196" s="8"/>
      <c r="D196" s="8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spans="1:15" x14ac:dyDescent="0.25">
      <c r="A197" s="31"/>
      <c r="B197" s="2" t="s">
        <v>5</v>
      </c>
      <c r="C197" s="4">
        <f>SUM(C189:C196)</f>
        <v>0</v>
      </c>
      <c r="D197" s="2"/>
      <c r="E197" s="4">
        <f>SUM(E189:E196)</f>
        <v>0</v>
      </c>
      <c r="F197" s="14"/>
      <c r="G197" s="4">
        <f>SUM(G189:G196)</f>
        <v>0</v>
      </c>
      <c r="H197" s="14"/>
      <c r="I197" s="4">
        <f>SUM(I189:I196)</f>
        <v>0</v>
      </c>
      <c r="J197" s="14"/>
      <c r="K197" s="4">
        <f>SUM(K189:K196)</f>
        <v>0</v>
      </c>
      <c r="L197" s="14"/>
      <c r="M197" s="4">
        <f>SUM(M189:M196)</f>
        <v>0</v>
      </c>
      <c r="N197" s="14"/>
      <c r="O197" s="14"/>
    </row>
    <row r="198" spans="1:15" x14ac:dyDescent="0.25">
      <c r="A198" s="31"/>
      <c r="B198" s="1" t="s">
        <v>7</v>
      </c>
      <c r="C198" s="5"/>
      <c r="D198" s="1"/>
      <c r="E198" s="5"/>
      <c r="F198" s="14"/>
      <c r="G198" s="5"/>
      <c r="H198" s="14"/>
      <c r="I198" s="5"/>
      <c r="J198" s="14"/>
      <c r="K198" s="5"/>
      <c r="L198" s="14"/>
      <c r="M198" s="5"/>
      <c r="N198" s="14"/>
      <c r="O198" s="14"/>
    </row>
    <row r="199" spans="1:15" x14ac:dyDescent="0.25">
      <c r="A199" s="31"/>
      <c r="B199" s="2" t="s">
        <v>8</v>
      </c>
      <c r="C199" s="6">
        <f>C197-C198</f>
        <v>0</v>
      </c>
      <c r="D199" s="2"/>
      <c r="E199" s="6">
        <f>E197-E198</f>
        <v>0</v>
      </c>
      <c r="F199" s="16"/>
      <c r="G199" s="6">
        <f>G197-G198</f>
        <v>0</v>
      </c>
      <c r="H199" s="14"/>
      <c r="I199" s="6">
        <f>I197-I198</f>
        <v>0</v>
      </c>
      <c r="J199" s="14"/>
      <c r="K199" s="6">
        <f>K197-K198</f>
        <v>0</v>
      </c>
      <c r="L199" s="14"/>
      <c r="M199" s="6">
        <f>M197-M198</f>
        <v>0</v>
      </c>
      <c r="N199" s="14"/>
      <c r="O199" s="14"/>
    </row>
    <row r="200" spans="1:15" x14ac:dyDescent="0.25">
      <c r="A200" s="32">
        <v>46161</v>
      </c>
      <c r="B200" s="1" t="s">
        <v>3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x14ac:dyDescent="0.25">
      <c r="A201" s="31"/>
      <c r="B201" s="2" t="s">
        <v>11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spans="1:15" x14ac:dyDescent="0.25">
      <c r="A202" s="31"/>
      <c r="B202" s="1" t="s">
        <v>15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x14ac:dyDescent="0.25">
      <c r="A203" s="31"/>
      <c r="B203" s="2" t="s">
        <v>4</v>
      </c>
      <c r="C203" s="10"/>
      <c r="D203" s="9"/>
      <c r="E203" s="10"/>
      <c r="F203" s="9"/>
      <c r="G203" s="10"/>
      <c r="H203" s="9"/>
      <c r="I203" s="10"/>
      <c r="J203" s="9"/>
      <c r="K203" s="10"/>
      <c r="L203" s="9"/>
      <c r="M203" s="10"/>
      <c r="N203" s="9"/>
      <c r="O203" s="9"/>
    </row>
    <row r="204" spans="1:15" x14ac:dyDescent="0.25">
      <c r="A204" s="31"/>
      <c r="B204" s="1" t="s">
        <v>14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x14ac:dyDescent="0.25">
      <c r="A205" s="31"/>
      <c r="B205" s="2" t="s">
        <v>10</v>
      </c>
      <c r="C205" s="10"/>
      <c r="D205" s="9"/>
      <c r="E205" s="10"/>
      <c r="F205" s="9"/>
      <c r="G205" s="10"/>
      <c r="H205" s="9"/>
      <c r="I205" s="10"/>
      <c r="J205" s="9"/>
      <c r="K205" s="10"/>
      <c r="L205" s="9"/>
      <c r="M205" s="10"/>
      <c r="N205" s="9"/>
      <c r="O205" s="9"/>
    </row>
    <row r="206" spans="1:15" x14ac:dyDescent="0.25">
      <c r="A206" s="31"/>
      <c r="B206" s="1" t="s">
        <v>12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x14ac:dyDescent="0.25">
      <c r="A207" s="31"/>
      <c r="B207" s="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spans="1:15" x14ac:dyDescent="0.25">
      <c r="A208" s="31"/>
      <c r="B208" s="1" t="s">
        <v>5</v>
      </c>
      <c r="C208" s="4">
        <f>SUM(C200:C207)</f>
        <v>0</v>
      </c>
      <c r="D208" s="1"/>
      <c r="E208" s="4">
        <f>SUM(E200:E207)</f>
        <v>0</v>
      </c>
      <c r="F208" s="14"/>
      <c r="G208" s="4">
        <f>SUM(G200:G207)</f>
        <v>0</v>
      </c>
      <c r="H208" s="14"/>
      <c r="I208" s="4">
        <f>SUM(I200:I207)</f>
        <v>0</v>
      </c>
      <c r="J208" s="14"/>
      <c r="K208" s="4">
        <f>SUM(K200:K207)</f>
        <v>0</v>
      </c>
      <c r="L208" s="14"/>
      <c r="M208" s="4">
        <f>SUM(M200:M207)</f>
        <v>0</v>
      </c>
      <c r="N208" s="14"/>
      <c r="O208" s="17"/>
    </row>
    <row r="209" spans="1:15" x14ac:dyDescent="0.25">
      <c r="A209" s="31"/>
      <c r="B209" s="2" t="s">
        <v>7</v>
      </c>
      <c r="C209" s="5"/>
      <c r="D209" s="2"/>
      <c r="E209" s="5"/>
      <c r="F209" s="14"/>
      <c r="G209" s="5"/>
      <c r="H209" s="14"/>
      <c r="I209" s="5"/>
      <c r="J209" s="14"/>
      <c r="K209" s="5"/>
      <c r="L209" s="14"/>
      <c r="M209" s="5"/>
      <c r="N209" s="14"/>
      <c r="O209" s="15"/>
    </row>
    <row r="210" spans="1:15" x14ac:dyDescent="0.25">
      <c r="A210" s="31"/>
      <c r="B210" s="1" t="s">
        <v>8</v>
      </c>
      <c r="C210" s="6">
        <f>C208-C209</f>
        <v>0</v>
      </c>
      <c r="D210" s="1"/>
      <c r="E210" s="6">
        <f>E208-E209</f>
        <v>0</v>
      </c>
      <c r="F210" s="14"/>
      <c r="G210" s="6">
        <f>G208-G209</f>
        <v>0</v>
      </c>
      <c r="H210" s="14"/>
      <c r="I210" s="6">
        <f>I208-I209</f>
        <v>0</v>
      </c>
      <c r="J210" s="14"/>
      <c r="K210" s="6">
        <f>K208-K209</f>
        <v>0</v>
      </c>
      <c r="L210" s="14"/>
      <c r="M210" s="6">
        <f>M208-M209</f>
        <v>0</v>
      </c>
      <c r="N210" s="14"/>
      <c r="O210" s="16"/>
    </row>
    <row r="211" spans="1:15" x14ac:dyDescent="0.25">
      <c r="A211" s="33">
        <v>46162</v>
      </c>
      <c r="B211" s="2" t="s">
        <v>3</v>
      </c>
      <c r="C211" s="9"/>
      <c r="D211" s="9"/>
      <c r="E211" s="8"/>
      <c r="F211" s="8"/>
      <c r="G211" s="8"/>
      <c r="H211" s="8"/>
      <c r="I211" s="8"/>
      <c r="J211" s="14"/>
      <c r="K211" s="8"/>
      <c r="L211" s="8"/>
      <c r="M211" s="8"/>
      <c r="N211" s="8"/>
      <c r="O211" s="8"/>
    </row>
    <row r="212" spans="1:15" x14ac:dyDescent="0.25">
      <c r="A212" s="31"/>
      <c r="B212" s="1" t="s">
        <v>15</v>
      </c>
      <c r="C212" s="8"/>
      <c r="D212" s="8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x14ac:dyDescent="0.25">
      <c r="A213" s="31"/>
      <c r="B213" s="2" t="s">
        <v>12</v>
      </c>
      <c r="C213" s="9"/>
      <c r="D213" s="9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x14ac:dyDescent="0.25">
      <c r="A214" s="31"/>
      <c r="B214" s="1" t="s">
        <v>16</v>
      </c>
      <c r="C214" s="11"/>
      <c r="D214" s="8"/>
      <c r="E214" s="10"/>
      <c r="F214" s="9"/>
      <c r="G214" s="10"/>
      <c r="H214" s="9"/>
      <c r="I214" s="10"/>
      <c r="J214" s="9"/>
      <c r="K214" s="10"/>
      <c r="L214" s="9"/>
      <c r="M214" s="10"/>
      <c r="N214" s="9"/>
      <c r="O214" s="9"/>
    </row>
    <row r="215" spans="1:15" x14ac:dyDescent="0.25">
      <c r="A215" s="31"/>
      <c r="B215" s="2" t="s">
        <v>17</v>
      </c>
      <c r="C215" s="9"/>
      <c r="D215" s="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x14ac:dyDescent="0.25">
      <c r="A216" s="31"/>
      <c r="B216" s="1" t="s">
        <v>19</v>
      </c>
      <c r="C216" s="11"/>
      <c r="D216" s="8"/>
      <c r="E216" s="10"/>
      <c r="F216" s="9"/>
      <c r="G216" s="10"/>
      <c r="H216" s="9"/>
      <c r="I216" s="10"/>
      <c r="J216" s="9"/>
      <c r="K216" s="10"/>
      <c r="L216" s="9"/>
      <c r="M216" s="10"/>
      <c r="N216" s="9"/>
      <c r="O216" s="9"/>
    </row>
    <row r="217" spans="1:15" x14ac:dyDescent="0.25">
      <c r="A217" s="31"/>
      <c r="B217" s="2" t="s">
        <v>14</v>
      </c>
      <c r="C217" s="9"/>
      <c r="D217" s="9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x14ac:dyDescent="0.25">
      <c r="A218" s="31"/>
      <c r="B218" s="1"/>
      <c r="C218" s="8"/>
      <c r="D218" s="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spans="1:15" x14ac:dyDescent="0.25">
      <c r="A219" s="31"/>
      <c r="B219" s="2" t="s">
        <v>5</v>
      </c>
      <c r="C219" s="4">
        <f>SUM(C211:C218)</f>
        <v>0</v>
      </c>
      <c r="D219" s="2"/>
      <c r="E219" s="4">
        <f>SUM(E211:E218)</f>
        <v>0</v>
      </c>
      <c r="F219" s="14"/>
      <c r="G219" s="4">
        <f>SUM(G211:G218)</f>
        <v>0</v>
      </c>
      <c r="H219" s="14"/>
      <c r="I219" s="4">
        <f>SUM(I211:I218)</f>
        <v>0</v>
      </c>
      <c r="J219" s="14"/>
      <c r="K219" s="4">
        <f>SUM(K211:K218)</f>
        <v>0</v>
      </c>
      <c r="L219" s="14"/>
      <c r="M219" s="4">
        <f>SUM(M211:M218)</f>
        <v>0</v>
      </c>
      <c r="N219" s="14"/>
      <c r="O219" s="17"/>
    </row>
    <row r="220" spans="1:15" x14ac:dyDescent="0.25">
      <c r="A220" s="31"/>
      <c r="B220" s="1" t="s">
        <v>7</v>
      </c>
      <c r="C220" s="5"/>
      <c r="D220" s="1"/>
      <c r="E220" s="5"/>
      <c r="F220" s="14"/>
      <c r="G220" s="5"/>
      <c r="H220" s="14"/>
      <c r="I220" s="5"/>
      <c r="J220" s="14"/>
      <c r="K220" s="5"/>
      <c r="L220" s="14"/>
      <c r="M220" s="5"/>
      <c r="N220" s="14"/>
      <c r="O220" s="15"/>
    </row>
    <row r="221" spans="1:15" x14ac:dyDescent="0.25">
      <c r="A221" s="31"/>
      <c r="B221" s="2" t="s">
        <v>8</v>
      </c>
      <c r="C221" s="6">
        <f>C219-C220</f>
        <v>0</v>
      </c>
      <c r="D221" s="2"/>
      <c r="E221" s="6">
        <f>E219-E220</f>
        <v>0</v>
      </c>
      <c r="F221" s="14"/>
      <c r="G221" s="6">
        <f>G219-G220</f>
        <v>0</v>
      </c>
      <c r="H221" s="14"/>
      <c r="I221" s="6">
        <f>I219-I220</f>
        <v>0</v>
      </c>
      <c r="J221" s="14"/>
      <c r="K221" s="6">
        <f>K219-K220</f>
        <v>0</v>
      </c>
      <c r="L221" s="14"/>
      <c r="M221" s="6">
        <f>M219-M220</f>
        <v>0</v>
      </c>
      <c r="N221" s="14"/>
      <c r="O221" s="16"/>
    </row>
    <row r="222" spans="1:15" x14ac:dyDescent="0.25">
      <c r="A222" s="33">
        <v>46163</v>
      </c>
      <c r="B222" s="2" t="s">
        <v>3</v>
      </c>
      <c r="C222" s="9"/>
      <c r="D222" s="9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1:15" x14ac:dyDescent="0.25">
      <c r="A223" s="31"/>
      <c r="B223" s="1" t="s">
        <v>15</v>
      </c>
      <c r="C223" s="8"/>
      <c r="D223" s="8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spans="1:15" x14ac:dyDescent="0.25">
      <c r="A224" s="31"/>
      <c r="B224" s="2" t="s">
        <v>14</v>
      </c>
      <c r="C224" s="9"/>
      <c r="D224" s="9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1:14" x14ac:dyDescent="0.25">
      <c r="A225" s="31"/>
      <c r="B225" s="1" t="s">
        <v>10</v>
      </c>
      <c r="C225" s="11"/>
      <c r="D225" s="8"/>
      <c r="E225" s="10"/>
      <c r="F225" s="9"/>
      <c r="G225" s="10"/>
      <c r="H225" s="9"/>
      <c r="I225" s="10"/>
      <c r="J225" s="9"/>
      <c r="K225" s="10"/>
      <c r="L225" s="9"/>
      <c r="M225" s="10"/>
      <c r="N225" s="9"/>
    </row>
    <row r="226" spans="1:14" x14ac:dyDescent="0.25">
      <c r="A226" s="31"/>
      <c r="B226" s="2" t="s">
        <v>13</v>
      </c>
      <c r="C226" s="9"/>
      <c r="D226" s="9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1:14" x14ac:dyDescent="0.25">
      <c r="A227" s="31"/>
      <c r="B227" s="1" t="s">
        <v>11</v>
      </c>
      <c r="C227" s="11"/>
      <c r="D227" s="8"/>
      <c r="E227" s="10"/>
      <c r="F227" s="9"/>
      <c r="G227" s="10"/>
      <c r="H227" s="9"/>
      <c r="I227" s="10"/>
      <c r="J227" s="9"/>
      <c r="K227" s="10"/>
      <c r="L227" s="9"/>
      <c r="M227" s="10"/>
      <c r="N227" s="9"/>
    </row>
    <row r="228" spans="1:14" x14ac:dyDescent="0.25">
      <c r="A228" s="31"/>
      <c r="B228" s="2"/>
      <c r="C228" s="9"/>
      <c r="D228" s="9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1:14" x14ac:dyDescent="0.25">
      <c r="A229" s="31"/>
      <c r="B229" s="1"/>
      <c r="C229" s="8"/>
      <c r="D229" s="8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x14ac:dyDescent="0.25">
      <c r="A230" s="31"/>
      <c r="B230" s="2" t="s">
        <v>5</v>
      </c>
      <c r="C230" s="4">
        <f>SUM(C222:C229)</f>
        <v>0</v>
      </c>
      <c r="D230" s="2"/>
      <c r="E230" s="4">
        <f>SUM(E222:E229)</f>
        <v>0</v>
      </c>
      <c r="F230" s="14"/>
      <c r="G230" s="4">
        <f>SUM(G222:G229)</f>
        <v>0</v>
      </c>
      <c r="H230" s="14"/>
      <c r="I230" s="4">
        <f>SUM(I222:I229)</f>
        <v>0</v>
      </c>
      <c r="J230" s="14"/>
      <c r="K230" s="4">
        <f>SUM(K222:K229)</f>
        <v>0</v>
      </c>
      <c r="L230" s="17"/>
      <c r="M230" s="4">
        <f>SUM(M222:M229)</f>
        <v>0</v>
      </c>
      <c r="N230" s="14"/>
    </row>
    <row r="231" spans="1:14" x14ac:dyDescent="0.25">
      <c r="A231" s="31"/>
      <c r="B231" s="1" t="s">
        <v>7</v>
      </c>
      <c r="C231" s="5"/>
      <c r="D231" s="1"/>
      <c r="E231" s="5"/>
      <c r="F231" s="14"/>
      <c r="G231" s="5"/>
      <c r="H231" s="14"/>
      <c r="I231" s="5"/>
      <c r="J231" s="14"/>
      <c r="K231" s="5"/>
      <c r="L231" s="14"/>
      <c r="M231" s="5"/>
      <c r="N231" s="14"/>
    </row>
    <row r="232" spans="1:14" x14ac:dyDescent="0.25">
      <c r="A232" s="31"/>
      <c r="B232" s="2" t="s">
        <v>8</v>
      </c>
      <c r="C232" s="6">
        <f>C230-C231</f>
        <v>0</v>
      </c>
      <c r="D232" s="2"/>
      <c r="E232" s="6">
        <f>E230-E231</f>
        <v>0</v>
      </c>
      <c r="F232" s="14"/>
      <c r="G232" s="6">
        <f>G230-G231</f>
        <v>0</v>
      </c>
      <c r="H232" s="14"/>
      <c r="I232" s="6">
        <f>I230-I231</f>
        <v>0</v>
      </c>
      <c r="J232" s="14"/>
      <c r="K232" s="6">
        <f>K230-K231</f>
        <v>0</v>
      </c>
      <c r="L232" s="16"/>
      <c r="M232" s="6">
        <f>M230-M231</f>
        <v>0</v>
      </c>
      <c r="N232" s="14"/>
    </row>
    <row r="233" spans="1:14" x14ac:dyDescent="0.25">
      <c r="A233" s="32">
        <v>46164</v>
      </c>
      <c r="B233" s="1" t="s">
        <v>3</v>
      </c>
      <c r="C233" s="8"/>
      <c r="D233" s="8"/>
      <c r="E233" s="8"/>
      <c r="F233" s="8"/>
      <c r="G233" s="8"/>
      <c r="H233" s="8"/>
      <c r="I233" s="8"/>
      <c r="J233" s="8"/>
      <c r="K233" s="8"/>
      <c r="M233" s="8"/>
    </row>
    <row r="234" spans="1:14" x14ac:dyDescent="0.25">
      <c r="A234" s="31"/>
      <c r="B234" s="2" t="s">
        <v>15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25">
      <c r="A235" s="31"/>
      <c r="B235" s="1" t="s">
        <v>12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1:14" x14ac:dyDescent="0.25">
      <c r="A236" s="31"/>
      <c r="B236" s="2" t="s">
        <v>11</v>
      </c>
      <c r="C236" s="10"/>
      <c r="D236" s="9"/>
      <c r="E236" s="10"/>
      <c r="F236" s="9"/>
      <c r="G236" s="10"/>
      <c r="H236" s="9"/>
      <c r="I236" s="10"/>
      <c r="J236" s="9"/>
      <c r="K236" s="10"/>
      <c r="L236" s="9"/>
      <c r="M236" s="10"/>
      <c r="N236" s="9"/>
    </row>
    <row r="237" spans="1:14" x14ac:dyDescent="0.25">
      <c r="A237" s="31"/>
      <c r="B237" s="1" t="s">
        <v>10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1:14" x14ac:dyDescent="0.25">
      <c r="A238" s="31"/>
      <c r="B238" s="2" t="s">
        <v>14</v>
      </c>
      <c r="C238" s="10"/>
      <c r="D238" s="9"/>
      <c r="E238" s="10"/>
      <c r="F238" s="9"/>
      <c r="G238" s="10"/>
      <c r="H238" s="9"/>
      <c r="I238" s="10"/>
      <c r="J238" s="9"/>
      <c r="K238" s="10"/>
      <c r="L238" s="9"/>
      <c r="M238" s="10"/>
      <c r="N238" s="9"/>
    </row>
    <row r="239" spans="1:14" x14ac:dyDescent="0.25">
      <c r="A239" s="31"/>
      <c r="B239" s="1" t="s">
        <v>13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1:14" x14ac:dyDescent="0.25">
      <c r="A240" s="31"/>
      <c r="B240" s="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spans="1:14" x14ac:dyDescent="0.25">
      <c r="A241" s="31"/>
      <c r="B241" s="1" t="s">
        <v>5</v>
      </c>
      <c r="C241" s="4">
        <f>SUM(C233:C240)</f>
        <v>0</v>
      </c>
      <c r="D241" s="1"/>
      <c r="E241" s="4">
        <f>SUM(E233:E240)</f>
        <v>0</v>
      </c>
      <c r="F241" s="14"/>
      <c r="G241" s="4">
        <f>SUM(G233:G240)</f>
        <v>0</v>
      </c>
      <c r="H241" s="14"/>
      <c r="I241" s="4">
        <f>SUM(I233:I240)</f>
        <v>0</v>
      </c>
      <c r="J241" s="14"/>
      <c r="K241" s="4">
        <f>SUM(K233:K240)</f>
        <v>0</v>
      </c>
      <c r="L241" s="14"/>
      <c r="M241" s="4">
        <f>SUM(M233:M240)</f>
        <v>0</v>
      </c>
      <c r="N241" s="14"/>
    </row>
    <row r="242" spans="1:14" x14ac:dyDescent="0.25">
      <c r="A242" s="31"/>
      <c r="B242" s="2" t="s">
        <v>7</v>
      </c>
      <c r="C242" s="5"/>
      <c r="D242" s="2"/>
      <c r="E242" s="5"/>
      <c r="F242" s="14"/>
      <c r="G242" s="5"/>
      <c r="H242" s="14"/>
      <c r="I242" s="5"/>
      <c r="J242" s="14"/>
      <c r="K242" s="5"/>
      <c r="L242" s="14"/>
      <c r="M242" s="5"/>
      <c r="N242" s="14"/>
    </row>
    <row r="243" spans="1:14" x14ac:dyDescent="0.25">
      <c r="A243" s="31"/>
      <c r="B243" s="1" t="s">
        <v>8</v>
      </c>
      <c r="C243" s="6">
        <f>C241-C242</f>
        <v>0</v>
      </c>
      <c r="D243" s="1"/>
      <c r="E243" s="6">
        <f>E241-E242</f>
        <v>0</v>
      </c>
      <c r="F243" s="14"/>
      <c r="G243" s="6">
        <f>G241-G242</f>
        <v>0</v>
      </c>
      <c r="H243" s="14"/>
      <c r="I243" s="6">
        <f>I241-I242</f>
        <v>0</v>
      </c>
      <c r="J243" s="14"/>
      <c r="K243" s="6">
        <f>K241-K242</f>
        <v>0</v>
      </c>
      <c r="L243" s="14"/>
      <c r="M243" s="6">
        <f>M241-M242</f>
        <v>0</v>
      </c>
      <c r="N243" s="14"/>
    </row>
    <row r="244" spans="1:14" x14ac:dyDescent="0.25">
      <c r="A244" s="32">
        <v>46165</v>
      </c>
      <c r="B244" s="1" t="s">
        <v>3</v>
      </c>
      <c r="C244" s="8"/>
      <c r="D244" s="8"/>
      <c r="E244" s="8"/>
      <c r="F244" s="16"/>
      <c r="G244" s="8"/>
      <c r="H244" s="8"/>
      <c r="I244" s="8"/>
      <c r="J244" s="8"/>
      <c r="K244" s="8"/>
      <c r="L244" s="8"/>
      <c r="M244" s="8"/>
      <c r="N244" s="8"/>
    </row>
    <row r="245" spans="1:14" x14ac:dyDescent="0.25">
      <c r="A245" s="31"/>
      <c r="B245" s="2" t="s">
        <v>15</v>
      </c>
      <c r="C245" s="9"/>
      <c r="D245" s="9"/>
      <c r="E245" s="9"/>
      <c r="G245" s="9"/>
      <c r="I245" s="9"/>
      <c r="K245" s="9"/>
      <c r="L245" s="9"/>
      <c r="M245" s="9"/>
      <c r="N245" s="9"/>
    </row>
    <row r="246" spans="1:14" x14ac:dyDescent="0.25">
      <c r="A246" s="31"/>
      <c r="B246" s="1" t="s">
        <v>12</v>
      </c>
      <c r="C246" s="8"/>
      <c r="D246" s="8"/>
      <c r="E246" s="8"/>
      <c r="G246" s="8"/>
      <c r="I246" s="8"/>
      <c r="K246" s="8"/>
      <c r="L246" s="8"/>
      <c r="M246" s="8"/>
      <c r="N246" s="8"/>
    </row>
    <row r="247" spans="1:14" x14ac:dyDescent="0.25">
      <c r="A247" s="31"/>
      <c r="B247" s="2" t="s">
        <v>10</v>
      </c>
      <c r="C247" s="10"/>
      <c r="D247" s="9"/>
      <c r="E247" s="10"/>
      <c r="G247" s="10"/>
      <c r="I247" s="10"/>
      <c r="K247" s="10"/>
      <c r="L247" s="9"/>
      <c r="M247" s="10"/>
      <c r="N247" s="9"/>
    </row>
    <row r="248" spans="1:14" x14ac:dyDescent="0.25">
      <c r="A248" s="31"/>
      <c r="B248" s="1" t="s">
        <v>20</v>
      </c>
      <c r="C248" s="8"/>
      <c r="D248" s="8"/>
      <c r="E248" s="8"/>
      <c r="G248" s="8"/>
      <c r="I248" s="8"/>
      <c r="K248" s="8"/>
      <c r="L248" s="8"/>
      <c r="M248" s="8"/>
      <c r="N248" s="8"/>
    </row>
    <row r="249" spans="1:14" x14ac:dyDescent="0.25">
      <c r="A249" s="31"/>
      <c r="B249" s="2" t="s">
        <v>13</v>
      </c>
      <c r="C249" s="10"/>
      <c r="D249" s="9"/>
      <c r="E249" s="10"/>
      <c r="G249" s="10"/>
      <c r="I249" s="10"/>
      <c r="K249" s="10"/>
      <c r="L249" s="9"/>
      <c r="M249" s="10"/>
      <c r="N249" s="9"/>
    </row>
    <row r="250" spans="1:14" x14ac:dyDescent="0.25">
      <c r="A250" s="31"/>
      <c r="B250" s="1" t="s">
        <v>14</v>
      </c>
      <c r="C250" s="8"/>
      <c r="D250" s="8"/>
      <c r="E250" s="8"/>
      <c r="G250" s="8"/>
      <c r="I250" s="8"/>
      <c r="K250" s="8"/>
      <c r="L250" s="8"/>
      <c r="M250" s="8"/>
      <c r="N250" s="8"/>
    </row>
    <row r="251" spans="1:14" x14ac:dyDescent="0.25">
      <c r="A251" s="31"/>
      <c r="B251" s="2"/>
      <c r="C251" s="9"/>
      <c r="D251" s="9"/>
      <c r="E251" s="9"/>
      <c r="G251" s="9"/>
      <c r="I251" s="9"/>
      <c r="K251" s="9"/>
      <c r="L251" s="9"/>
      <c r="M251" s="9"/>
      <c r="N251" s="9"/>
    </row>
    <row r="252" spans="1:14" x14ac:dyDescent="0.25">
      <c r="A252" s="31"/>
      <c r="B252" s="1" t="s">
        <v>5</v>
      </c>
      <c r="C252" s="4">
        <f>SUM(C244:C251)</f>
        <v>0</v>
      </c>
      <c r="D252" s="1"/>
      <c r="E252" s="4">
        <f>SUM(E244:E251)</f>
        <v>0</v>
      </c>
      <c r="F252" s="14"/>
      <c r="G252" s="4">
        <f>SUM(G244:G251)</f>
        <v>0</v>
      </c>
      <c r="H252" s="14"/>
      <c r="I252" s="4">
        <f>SUM(I244:I251)</f>
        <v>0</v>
      </c>
      <c r="J252" s="14"/>
      <c r="K252" s="4">
        <f>SUM(K244:K251)</f>
        <v>0</v>
      </c>
      <c r="L252" s="14"/>
      <c r="M252" s="4">
        <f>SUM(M244:M251)</f>
        <v>0</v>
      </c>
      <c r="N252" s="14"/>
    </row>
    <row r="253" spans="1:14" x14ac:dyDescent="0.25">
      <c r="A253" s="31"/>
      <c r="B253" s="2" t="s">
        <v>7</v>
      </c>
      <c r="C253" s="5"/>
      <c r="D253" s="2"/>
      <c r="E253" s="5"/>
      <c r="F253" s="14"/>
      <c r="G253" s="5"/>
      <c r="H253" s="14"/>
      <c r="I253" s="5"/>
      <c r="J253" s="14"/>
      <c r="K253" s="5"/>
      <c r="L253" s="14"/>
      <c r="M253" s="5"/>
      <c r="N253" s="14"/>
    </row>
    <row r="254" spans="1:14" x14ac:dyDescent="0.25">
      <c r="A254" s="31"/>
      <c r="B254" s="1" t="s">
        <v>8</v>
      </c>
      <c r="C254" s="6">
        <f>C252-C253</f>
        <v>0</v>
      </c>
      <c r="D254" s="1"/>
      <c r="E254" s="6">
        <f>E252-E253</f>
        <v>0</v>
      </c>
      <c r="F254" s="14"/>
      <c r="G254" s="6">
        <f>G252-G253</f>
        <v>0</v>
      </c>
      <c r="H254" s="14"/>
      <c r="I254" s="6">
        <f>I252-I253</f>
        <v>0</v>
      </c>
      <c r="J254" s="14"/>
      <c r="K254" s="6">
        <f>K252-K253</f>
        <v>0</v>
      </c>
      <c r="L254" s="14"/>
      <c r="M254" s="6">
        <f>M252-M253</f>
        <v>0</v>
      </c>
      <c r="N254" s="14"/>
    </row>
    <row r="255" spans="1:14" x14ac:dyDescent="0.25">
      <c r="A255" s="33">
        <v>46166</v>
      </c>
      <c r="B255" s="2" t="s">
        <v>3</v>
      </c>
      <c r="C255" s="9"/>
      <c r="D255" s="9"/>
      <c r="E255" s="8"/>
      <c r="G255" s="8"/>
      <c r="I255" s="8"/>
      <c r="K255" s="8"/>
      <c r="L255" s="8"/>
      <c r="M255" s="8"/>
      <c r="N255" s="8"/>
    </row>
    <row r="256" spans="1:14" x14ac:dyDescent="0.25">
      <c r="A256" s="31"/>
      <c r="B256" s="1" t="s">
        <v>11</v>
      </c>
      <c r="C256" s="8"/>
      <c r="D256" s="8"/>
      <c r="E256" s="9"/>
      <c r="G256" s="9"/>
      <c r="I256" s="8"/>
      <c r="K256" s="9"/>
      <c r="L256" s="9"/>
      <c r="M256" s="9"/>
      <c r="N256" s="9"/>
    </row>
    <row r="257" spans="1:14" x14ac:dyDescent="0.25">
      <c r="A257" s="31"/>
      <c r="B257" s="2" t="s">
        <v>4</v>
      </c>
      <c r="C257" s="9"/>
      <c r="D257" s="9"/>
      <c r="E257" s="8"/>
      <c r="G257" s="8"/>
      <c r="I257" s="8"/>
      <c r="K257" s="8"/>
      <c r="L257" s="8"/>
      <c r="M257" s="8"/>
      <c r="N257" s="8"/>
    </row>
    <row r="258" spans="1:14" x14ac:dyDescent="0.25">
      <c r="A258" s="31"/>
      <c r="B258" s="1" t="s">
        <v>13</v>
      </c>
      <c r="C258" s="11"/>
      <c r="D258" s="8"/>
      <c r="E258" s="10"/>
      <c r="G258" s="10"/>
      <c r="I258" s="10"/>
      <c r="K258" s="10"/>
      <c r="L258" s="9"/>
      <c r="M258" s="10"/>
      <c r="N258" s="9"/>
    </row>
    <row r="259" spans="1:14" x14ac:dyDescent="0.25">
      <c r="A259" s="31"/>
      <c r="B259" s="2" t="s">
        <v>12</v>
      </c>
      <c r="C259" s="9"/>
      <c r="D259" s="9"/>
      <c r="E259" s="8"/>
      <c r="G259" s="8"/>
      <c r="I259" s="8"/>
      <c r="K259" s="8"/>
      <c r="L259" s="8"/>
      <c r="M259" s="8"/>
      <c r="N259" s="8"/>
    </row>
    <row r="260" spans="1:14" x14ac:dyDescent="0.25">
      <c r="A260" s="31"/>
      <c r="B260" s="1" t="s">
        <v>10</v>
      </c>
      <c r="C260" s="11"/>
      <c r="D260" s="8"/>
      <c r="E260" s="10"/>
      <c r="G260" s="10"/>
      <c r="I260" s="10"/>
      <c r="K260" s="10"/>
      <c r="L260" s="9"/>
      <c r="M260" s="10"/>
      <c r="N260" s="9"/>
    </row>
    <row r="261" spans="1:14" x14ac:dyDescent="0.25">
      <c r="A261" s="31"/>
      <c r="B261" s="2"/>
      <c r="C261" s="9"/>
      <c r="D261" s="9"/>
      <c r="E261" s="8"/>
      <c r="G261" s="8"/>
      <c r="I261" s="8"/>
      <c r="K261" s="8"/>
      <c r="L261" s="8"/>
      <c r="M261" s="8"/>
      <c r="N261" s="8"/>
    </row>
    <row r="262" spans="1:14" x14ac:dyDescent="0.25">
      <c r="A262" s="31"/>
      <c r="B262" s="1"/>
      <c r="C262" s="8"/>
      <c r="D262" s="8"/>
      <c r="E262" s="9"/>
      <c r="G262" s="9"/>
      <c r="I262" s="9"/>
      <c r="K262" s="9"/>
      <c r="L262" s="9"/>
      <c r="M262" s="9"/>
      <c r="N262" s="9"/>
    </row>
    <row r="263" spans="1:14" x14ac:dyDescent="0.25">
      <c r="A263" s="31"/>
      <c r="B263" s="2" t="s">
        <v>5</v>
      </c>
      <c r="C263" s="4">
        <f>SUM(C255:C262)</f>
        <v>0</v>
      </c>
      <c r="D263" s="2"/>
      <c r="E263" s="4">
        <f>SUM(E255:E262)</f>
        <v>0</v>
      </c>
      <c r="F263" s="14"/>
      <c r="G263" s="4">
        <f>SUM(G255:G262)</f>
        <v>0</v>
      </c>
      <c r="H263" s="14"/>
      <c r="I263" s="4">
        <f>SUM(I255:I262)</f>
        <v>0</v>
      </c>
      <c r="J263" s="14"/>
      <c r="K263" s="4">
        <f>SUM(K255:K262)</f>
        <v>0</v>
      </c>
      <c r="L263" s="14"/>
      <c r="M263" s="4">
        <f>SUM(M255:M262)</f>
        <v>0</v>
      </c>
      <c r="N263" s="14"/>
    </row>
    <row r="264" spans="1:14" x14ac:dyDescent="0.25">
      <c r="A264" s="31"/>
      <c r="B264" s="1" t="s">
        <v>7</v>
      </c>
      <c r="C264" s="5"/>
      <c r="D264" s="1"/>
      <c r="E264" s="5"/>
      <c r="F264" s="14"/>
      <c r="G264" s="5"/>
      <c r="H264" s="14"/>
      <c r="I264" s="5"/>
      <c r="J264" s="14"/>
      <c r="K264" s="5"/>
      <c r="L264" s="14"/>
      <c r="M264" s="5"/>
      <c r="N264" s="14"/>
    </row>
    <row r="265" spans="1:14" x14ac:dyDescent="0.25">
      <c r="A265" s="31"/>
      <c r="B265" s="2" t="s">
        <v>8</v>
      </c>
      <c r="C265" s="6">
        <f>C263-C264</f>
        <v>0</v>
      </c>
      <c r="D265" s="2"/>
      <c r="E265" s="6">
        <f>E263-E264</f>
        <v>0</v>
      </c>
      <c r="F265" s="14"/>
      <c r="G265" s="6">
        <f>G263-G264</f>
        <v>0</v>
      </c>
      <c r="H265" s="14"/>
      <c r="I265" s="6">
        <f>I263-I264</f>
        <v>0</v>
      </c>
      <c r="J265" s="14"/>
      <c r="K265" s="6">
        <f>K263-K264</f>
        <v>0</v>
      </c>
      <c r="L265" s="14"/>
      <c r="M265" s="6">
        <f>M263-M264</f>
        <v>0</v>
      </c>
      <c r="N265" s="14"/>
    </row>
    <row r="266" spans="1:14" x14ac:dyDescent="0.25">
      <c r="A266" s="32">
        <v>46167</v>
      </c>
      <c r="B266" s="1" t="s">
        <v>3</v>
      </c>
      <c r="C266" s="8"/>
      <c r="D266" s="8"/>
      <c r="E266" s="8"/>
      <c r="G266" s="8"/>
      <c r="I266" s="8"/>
      <c r="K266" s="8"/>
      <c r="L266" s="8"/>
      <c r="M266" s="8"/>
      <c r="N266" s="8"/>
    </row>
    <row r="267" spans="1:14" x14ac:dyDescent="0.25">
      <c r="A267" s="31"/>
      <c r="B267" s="2" t="s">
        <v>15</v>
      </c>
      <c r="C267" s="9"/>
      <c r="D267" s="9"/>
      <c r="E267" s="8"/>
      <c r="G267" s="9"/>
      <c r="I267" s="9"/>
      <c r="K267" s="9"/>
      <c r="L267" s="9"/>
      <c r="M267" s="9"/>
      <c r="N267" s="9"/>
    </row>
    <row r="268" spans="1:14" x14ac:dyDescent="0.25">
      <c r="A268" s="31"/>
      <c r="B268" s="1" t="s">
        <v>4</v>
      </c>
      <c r="C268" s="8"/>
      <c r="D268" s="8"/>
      <c r="E268" s="8"/>
      <c r="G268" s="8"/>
      <c r="I268" s="8"/>
      <c r="K268" s="8"/>
      <c r="L268" s="8"/>
      <c r="M268" s="8"/>
      <c r="N268" s="8"/>
    </row>
    <row r="269" spans="1:14" x14ac:dyDescent="0.25">
      <c r="A269" s="31"/>
      <c r="B269" s="2" t="s">
        <v>10</v>
      </c>
      <c r="C269" s="10"/>
      <c r="D269" s="9"/>
      <c r="E269" s="10"/>
      <c r="G269" s="10"/>
      <c r="I269" s="10"/>
      <c r="K269" s="10"/>
      <c r="L269" s="9"/>
      <c r="M269" s="10"/>
      <c r="N269" s="9"/>
    </row>
    <row r="270" spans="1:14" x14ac:dyDescent="0.25">
      <c r="A270" s="31"/>
      <c r="B270" s="1" t="s">
        <v>13</v>
      </c>
      <c r="C270" s="8"/>
      <c r="D270" s="8"/>
      <c r="E270" s="8"/>
      <c r="G270" s="8"/>
      <c r="I270" s="8"/>
      <c r="K270" s="8"/>
      <c r="L270" s="8"/>
      <c r="M270" s="8"/>
      <c r="N270" s="8"/>
    </row>
    <row r="271" spans="1:14" x14ac:dyDescent="0.25">
      <c r="A271" s="31"/>
      <c r="B271" s="2" t="s">
        <v>11</v>
      </c>
      <c r="C271" s="10"/>
      <c r="D271" s="9"/>
      <c r="E271" s="10"/>
      <c r="G271" s="10"/>
      <c r="I271" s="10"/>
      <c r="K271" s="10"/>
      <c r="L271" s="9"/>
      <c r="M271" s="10"/>
      <c r="N271" s="9"/>
    </row>
    <row r="272" spans="1:14" x14ac:dyDescent="0.25">
      <c r="A272" s="31"/>
      <c r="B272" s="1"/>
      <c r="C272" s="8"/>
      <c r="D272" s="8"/>
      <c r="E272" s="8"/>
      <c r="G272" s="8"/>
      <c r="I272" s="8"/>
      <c r="K272" s="8"/>
      <c r="L272" s="8"/>
      <c r="M272" s="8"/>
      <c r="N272" s="8"/>
    </row>
    <row r="273" spans="1:14" x14ac:dyDescent="0.25">
      <c r="A273" s="31"/>
      <c r="B273" s="2"/>
      <c r="C273" s="9"/>
      <c r="D273" s="9"/>
      <c r="E273" s="9"/>
      <c r="G273" s="9"/>
      <c r="I273" s="9"/>
      <c r="K273" s="9"/>
      <c r="L273" s="9"/>
      <c r="M273" s="9"/>
      <c r="N273" s="9"/>
    </row>
    <row r="274" spans="1:14" x14ac:dyDescent="0.25">
      <c r="A274" s="31"/>
      <c r="B274" s="1" t="s">
        <v>5</v>
      </c>
      <c r="C274" s="4">
        <f>SUM(C266:C273)</f>
        <v>0</v>
      </c>
      <c r="D274" s="1"/>
      <c r="E274" s="4">
        <f>SUM(E266:E273)</f>
        <v>0</v>
      </c>
      <c r="F274" s="14"/>
      <c r="G274" s="4">
        <f>SUM(G266:G273)</f>
        <v>0</v>
      </c>
      <c r="H274" s="14"/>
      <c r="I274" s="4">
        <f>SUM(I266:I273)</f>
        <v>0</v>
      </c>
      <c r="J274" s="14"/>
      <c r="K274" s="4">
        <f>SUM(K266:K273)</f>
        <v>0</v>
      </c>
      <c r="L274" s="14"/>
      <c r="M274" s="4">
        <f>SUM(M266:M273)</f>
        <v>0</v>
      </c>
      <c r="N274" s="14"/>
    </row>
    <row r="275" spans="1:14" x14ac:dyDescent="0.25">
      <c r="A275" s="31"/>
      <c r="B275" s="2" t="s">
        <v>7</v>
      </c>
      <c r="C275" s="5"/>
      <c r="D275" s="2"/>
      <c r="E275" s="5"/>
      <c r="F275" s="14"/>
      <c r="G275" s="5"/>
      <c r="H275" s="14"/>
      <c r="I275" s="5"/>
      <c r="J275" s="14"/>
      <c r="K275" s="5"/>
      <c r="L275" s="14"/>
      <c r="M275" s="5"/>
      <c r="N275" s="14"/>
    </row>
    <row r="276" spans="1:14" x14ac:dyDescent="0.25">
      <c r="A276" s="31"/>
      <c r="B276" s="1" t="s">
        <v>8</v>
      </c>
      <c r="C276" s="6">
        <f>C274-C275</f>
        <v>0</v>
      </c>
      <c r="D276" s="1"/>
      <c r="E276" s="6">
        <f>E274-E275</f>
        <v>0</v>
      </c>
      <c r="F276" s="14"/>
      <c r="G276" s="6">
        <f>G274-G275</f>
        <v>0</v>
      </c>
      <c r="H276" s="14"/>
      <c r="I276" s="6">
        <f>I274-I275</f>
        <v>0</v>
      </c>
      <c r="J276" s="14"/>
      <c r="K276" s="6">
        <f>K274-K275</f>
        <v>0</v>
      </c>
      <c r="L276" s="14"/>
      <c r="M276" s="6">
        <f>M274-M275</f>
        <v>0</v>
      </c>
      <c r="N276" s="14"/>
    </row>
    <row r="277" spans="1:14" x14ac:dyDescent="0.25">
      <c r="A277" s="33">
        <v>46168</v>
      </c>
      <c r="B277" s="2" t="s">
        <v>3</v>
      </c>
      <c r="C277" s="9"/>
      <c r="D277" s="9"/>
      <c r="E277" s="8"/>
      <c r="G277" s="8"/>
      <c r="I277" s="8"/>
      <c r="K277" s="8"/>
      <c r="L277" s="8"/>
      <c r="M277" s="8"/>
      <c r="N277" s="8"/>
    </row>
    <row r="278" spans="1:14" x14ac:dyDescent="0.25">
      <c r="A278" s="31"/>
      <c r="B278" s="1" t="s">
        <v>15</v>
      </c>
      <c r="C278" s="8"/>
      <c r="D278" s="8"/>
      <c r="E278" s="8"/>
      <c r="G278" s="9"/>
      <c r="I278" s="8"/>
      <c r="K278" s="9"/>
      <c r="L278" s="9"/>
      <c r="M278" s="9"/>
      <c r="N278" s="9"/>
    </row>
    <row r="279" spans="1:14" x14ac:dyDescent="0.25">
      <c r="A279" s="31"/>
      <c r="B279" s="2" t="s">
        <v>12</v>
      </c>
      <c r="C279" s="9"/>
      <c r="D279" s="9"/>
      <c r="E279" s="8"/>
      <c r="G279" s="8"/>
      <c r="I279" s="8"/>
      <c r="K279" s="8"/>
      <c r="L279" s="8"/>
      <c r="M279" s="8"/>
      <c r="N279" s="8"/>
    </row>
    <row r="280" spans="1:14" x14ac:dyDescent="0.25">
      <c r="A280" s="31"/>
      <c r="B280" s="1" t="s">
        <v>4</v>
      </c>
      <c r="C280" s="11"/>
      <c r="D280" s="8"/>
      <c r="E280" s="11"/>
      <c r="G280" s="10"/>
      <c r="I280" s="10"/>
      <c r="K280" s="10"/>
      <c r="L280" s="9"/>
      <c r="M280" s="10"/>
      <c r="N280" s="9"/>
    </row>
    <row r="281" spans="1:14" x14ac:dyDescent="0.25">
      <c r="A281" s="31"/>
      <c r="B281" s="2" t="s">
        <v>11</v>
      </c>
      <c r="C281" s="9"/>
      <c r="D281" s="9"/>
      <c r="E281" s="8"/>
      <c r="G281" s="8"/>
      <c r="I281" s="8"/>
      <c r="K281" s="8"/>
      <c r="L281" s="8"/>
      <c r="M281" s="8"/>
      <c r="N281" s="8"/>
    </row>
    <row r="282" spans="1:14" x14ac:dyDescent="0.25">
      <c r="A282" s="31"/>
      <c r="B282" s="1" t="s">
        <v>10</v>
      </c>
      <c r="C282" s="11"/>
      <c r="D282" s="8"/>
      <c r="E282" s="10"/>
      <c r="G282" s="10"/>
      <c r="I282" s="10"/>
      <c r="K282" s="10"/>
      <c r="L282" s="9"/>
      <c r="M282" s="10"/>
      <c r="N282" s="9"/>
    </row>
    <row r="283" spans="1:14" x14ac:dyDescent="0.25">
      <c r="A283" s="31"/>
      <c r="B283" s="2" t="s">
        <v>14</v>
      </c>
      <c r="C283" s="9"/>
      <c r="D283" s="9"/>
      <c r="E283" s="8"/>
      <c r="G283" s="8"/>
      <c r="I283" s="8"/>
      <c r="K283" s="8"/>
      <c r="L283" s="8"/>
      <c r="M283" s="8"/>
      <c r="N283" s="8"/>
    </row>
    <row r="284" spans="1:14" x14ac:dyDescent="0.25">
      <c r="A284" s="31"/>
      <c r="B284" s="1"/>
      <c r="C284" s="8"/>
      <c r="D284" s="8"/>
      <c r="E284" s="9"/>
      <c r="G284" s="9"/>
      <c r="I284" s="9"/>
      <c r="K284" s="9"/>
      <c r="L284" s="9"/>
      <c r="M284" s="9"/>
      <c r="N284" s="9"/>
    </row>
    <row r="285" spans="1:14" x14ac:dyDescent="0.25">
      <c r="A285" s="31"/>
      <c r="B285" s="2" t="s">
        <v>5</v>
      </c>
      <c r="C285" s="4">
        <f>SUM(C277:C284)</f>
        <v>0</v>
      </c>
      <c r="D285" s="2"/>
      <c r="E285" s="4">
        <f>SUM(E277:E284)</f>
        <v>0</v>
      </c>
      <c r="F285" s="14"/>
      <c r="G285" s="4">
        <f>SUM(G277:G284)</f>
        <v>0</v>
      </c>
      <c r="H285" s="14"/>
      <c r="I285" s="4">
        <f>SUM(I277:I284)</f>
        <v>0</v>
      </c>
      <c r="J285" s="14"/>
      <c r="K285" s="4">
        <f>SUM(K277:K284)</f>
        <v>0</v>
      </c>
      <c r="L285" s="14"/>
      <c r="M285" s="4">
        <f>SUM(M277:M284)</f>
        <v>0</v>
      </c>
      <c r="N285" s="14"/>
    </row>
    <row r="286" spans="1:14" x14ac:dyDescent="0.25">
      <c r="A286" s="31"/>
      <c r="B286" s="1" t="s">
        <v>7</v>
      </c>
      <c r="C286" s="5"/>
      <c r="D286" s="1"/>
      <c r="E286" s="5"/>
      <c r="F286" s="14"/>
      <c r="G286" s="5"/>
      <c r="I286" s="5"/>
      <c r="J286" s="14"/>
      <c r="K286" s="5"/>
      <c r="L286" s="14"/>
      <c r="M286" s="5"/>
      <c r="N286" s="14"/>
    </row>
    <row r="287" spans="1:14" x14ac:dyDescent="0.25">
      <c r="A287" s="31"/>
      <c r="B287" s="2" t="s">
        <v>8</v>
      </c>
      <c r="C287" s="6">
        <f>C285-C286</f>
        <v>0</v>
      </c>
      <c r="D287" s="2"/>
      <c r="E287" s="6">
        <f>E285-E286</f>
        <v>0</v>
      </c>
      <c r="F287" s="14"/>
      <c r="G287" s="6">
        <f>G285-G286</f>
        <v>0</v>
      </c>
      <c r="I287" s="6">
        <f>I285-I286</f>
        <v>0</v>
      </c>
      <c r="J287" s="14"/>
      <c r="K287" s="6">
        <f>K285-K286</f>
        <v>0</v>
      </c>
      <c r="L287" s="14"/>
      <c r="M287" s="6">
        <f>M285-M286</f>
        <v>0</v>
      </c>
      <c r="N287" s="14"/>
    </row>
    <row r="288" spans="1:14" x14ac:dyDescent="0.25">
      <c r="A288" s="32">
        <v>46169</v>
      </c>
      <c r="B288" s="1" t="s">
        <v>3</v>
      </c>
      <c r="C288" s="8"/>
      <c r="D288" s="8"/>
      <c r="E288" s="8"/>
      <c r="G288" s="8"/>
      <c r="I288" s="8"/>
      <c r="K288" s="8"/>
      <c r="L288" s="8"/>
      <c r="M288" s="8"/>
      <c r="N288" s="8"/>
    </row>
    <row r="289" spans="1:14" x14ac:dyDescent="0.25">
      <c r="A289" s="31"/>
      <c r="B289" s="2" t="s">
        <v>16</v>
      </c>
      <c r="C289" s="9"/>
      <c r="D289" s="9"/>
      <c r="E289" s="8"/>
      <c r="G289" s="9"/>
      <c r="I289" s="9"/>
      <c r="K289" s="9"/>
      <c r="L289" s="9"/>
      <c r="M289" s="9"/>
      <c r="N289" s="9"/>
    </row>
    <row r="290" spans="1:14" x14ac:dyDescent="0.25">
      <c r="A290" s="31"/>
      <c r="B290" s="1" t="s">
        <v>15</v>
      </c>
      <c r="C290" s="8"/>
      <c r="D290" s="8"/>
      <c r="E290" s="8"/>
      <c r="G290" s="8"/>
      <c r="I290" s="8"/>
      <c r="K290" s="8"/>
      <c r="L290" s="8"/>
      <c r="M290" s="8"/>
      <c r="N290" s="8"/>
    </row>
    <row r="291" spans="1:14" x14ac:dyDescent="0.25">
      <c r="A291" s="31"/>
      <c r="B291" s="2" t="s">
        <v>19</v>
      </c>
      <c r="C291" s="10"/>
      <c r="D291" s="9"/>
      <c r="E291" s="11"/>
      <c r="G291" s="10"/>
      <c r="I291" s="10"/>
      <c r="K291" s="10"/>
      <c r="L291" s="9"/>
      <c r="M291" s="10"/>
      <c r="N291" s="9"/>
    </row>
    <row r="292" spans="1:14" x14ac:dyDescent="0.25">
      <c r="A292" s="31"/>
      <c r="B292" s="1" t="s">
        <v>17</v>
      </c>
      <c r="C292" s="8"/>
      <c r="D292" s="8"/>
      <c r="E292" s="8"/>
      <c r="G292" s="8"/>
      <c r="I292" s="8"/>
      <c r="K292" s="8"/>
      <c r="L292" s="8"/>
      <c r="M292" s="8"/>
      <c r="N292" s="8"/>
    </row>
    <row r="293" spans="1:14" x14ac:dyDescent="0.25">
      <c r="A293" s="31"/>
      <c r="B293" s="2" t="s">
        <v>12</v>
      </c>
      <c r="C293" s="10"/>
      <c r="D293" s="9"/>
      <c r="E293" s="11"/>
      <c r="G293" s="10"/>
      <c r="I293" s="10"/>
      <c r="K293" s="10"/>
      <c r="L293" s="9"/>
      <c r="M293" s="10"/>
      <c r="N293" s="9"/>
    </row>
    <row r="294" spans="1:14" x14ac:dyDescent="0.25">
      <c r="A294" s="31"/>
      <c r="B294" s="1" t="s">
        <v>13</v>
      </c>
      <c r="C294" s="8"/>
      <c r="D294" s="8"/>
      <c r="E294" s="8"/>
      <c r="G294" s="8"/>
      <c r="I294" s="8"/>
      <c r="K294" s="8"/>
      <c r="L294" s="8"/>
      <c r="M294" s="8"/>
      <c r="N294" s="8"/>
    </row>
    <row r="295" spans="1:14" x14ac:dyDescent="0.25">
      <c r="A295" s="31"/>
      <c r="B295" s="2"/>
      <c r="C295" s="9"/>
      <c r="D295" s="9"/>
      <c r="E295" s="9"/>
      <c r="G295" s="9"/>
      <c r="I295" s="9"/>
      <c r="K295" s="9"/>
      <c r="L295" s="9"/>
      <c r="M295" s="9"/>
      <c r="N295" s="9"/>
    </row>
    <row r="296" spans="1:14" x14ac:dyDescent="0.25">
      <c r="A296" s="31"/>
      <c r="B296" s="1" t="s">
        <v>5</v>
      </c>
      <c r="C296" s="4">
        <f>SUM(C288:C295)</f>
        <v>0</v>
      </c>
      <c r="D296" s="1"/>
      <c r="E296" s="4">
        <f>SUM(E288:E295)</f>
        <v>0</v>
      </c>
      <c r="F296" s="14"/>
      <c r="G296" s="4">
        <f>SUM(G288:G295)</f>
        <v>0</v>
      </c>
      <c r="I296" s="4">
        <f>SUM(I288:I295)</f>
        <v>0</v>
      </c>
      <c r="J296" s="14"/>
      <c r="K296" s="4">
        <f>SUM(K288:K295)</f>
        <v>0</v>
      </c>
      <c r="L296" s="14"/>
      <c r="M296" s="4">
        <f>SUM(M288:M295)</f>
        <v>0</v>
      </c>
      <c r="N296" s="14"/>
    </row>
    <row r="297" spans="1:14" x14ac:dyDescent="0.25">
      <c r="A297" s="31"/>
      <c r="B297" s="2" t="s">
        <v>7</v>
      </c>
      <c r="C297" s="5"/>
      <c r="D297" s="2"/>
      <c r="E297" s="5"/>
      <c r="G297" s="5"/>
      <c r="I297" s="5"/>
      <c r="J297" s="14"/>
      <c r="K297" s="5"/>
      <c r="L297" s="14"/>
      <c r="M297" s="5"/>
      <c r="N297" s="14"/>
    </row>
    <row r="298" spans="1:14" x14ac:dyDescent="0.25">
      <c r="A298" s="31"/>
      <c r="B298" s="1" t="s">
        <v>8</v>
      </c>
      <c r="C298" s="6">
        <f>C296-C297</f>
        <v>0</v>
      </c>
      <c r="D298" s="1"/>
      <c r="E298" s="6">
        <f>E296-E297</f>
        <v>0</v>
      </c>
      <c r="G298" s="6">
        <f>G296-G297</f>
        <v>0</v>
      </c>
      <c r="I298" s="6">
        <f>I296-I297</f>
        <v>0</v>
      </c>
      <c r="J298" s="14"/>
      <c r="K298" s="6">
        <f>K296-K297</f>
        <v>0</v>
      </c>
      <c r="L298" s="14"/>
      <c r="M298" s="6">
        <f>M296-M297</f>
        <v>0</v>
      </c>
      <c r="N298" s="14"/>
    </row>
    <row r="299" spans="1:14" x14ac:dyDescent="0.25">
      <c r="A299" s="33">
        <v>46170</v>
      </c>
      <c r="B299" s="2" t="s">
        <v>3</v>
      </c>
      <c r="C299" s="9"/>
      <c r="D299" s="9"/>
      <c r="E299" s="8"/>
      <c r="G299" s="8"/>
      <c r="I299" s="8"/>
      <c r="K299" s="8"/>
      <c r="L299" s="8"/>
      <c r="M299" s="8"/>
      <c r="N299" s="8"/>
    </row>
    <row r="300" spans="1:14" x14ac:dyDescent="0.25">
      <c r="A300" s="31"/>
      <c r="B300" s="1" t="s">
        <v>10</v>
      </c>
      <c r="C300" s="8"/>
      <c r="D300" s="8"/>
      <c r="E300" s="8"/>
      <c r="G300" s="9"/>
      <c r="I300" s="8"/>
      <c r="K300" s="9"/>
      <c r="L300" s="9"/>
      <c r="M300" s="9"/>
      <c r="N300" s="9"/>
    </row>
    <row r="301" spans="1:14" x14ac:dyDescent="0.25">
      <c r="A301" s="31"/>
      <c r="B301" s="2" t="s">
        <v>11</v>
      </c>
      <c r="C301" s="9"/>
      <c r="D301" s="9"/>
      <c r="E301" s="8"/>
      <c r="G301" s="8"/>
      <c r="I301" s="8"/>
      <c r="K301" s="8"/>
      <c r="L301" s="8"/>
      <c r="M301" s="8"/>
      <c r="N301" s="8"/>
    </row>
    <row r="302" spans="1:14" x14ac:dyDescent="0.25">
      <c r="A302" s="31"/>
      <c r="B302" s="1" t="s">
        <v>13</v>
      </c>
      <c r="C302" s="11"/>
      <c r="D302" s="8"/>
      <c r="E302" s="11"/>
      <c r="G302" s="10"/>
      <c r="I302" s="10"/>
      <c r="K302" s="10"/>
      <c r="L302" s="9"/>
      <c r="M302" s="10"/>
      <c r="N302" s="9"/>
    </row>
    <row r="303" spans="1:14" x14ac:dyDescent="0.25">
      <c r="A303" s="31"/>
      <c r="B303" s="2" t="s">
        <v>15</v>
      </c>
      <c r="C303" s="9"/>
      <c r="D303" s="9"/>
      <c r="E303" s="8"/>
      <c r="G303" s="8"/>
      <c r="I303" s="8"/>
      <c r="K303" s="8"/>
      <c r="L303" s="8"/>
      <c r="M303" s="8"/>
      <c r="N303" s="8"/>
    </row>
    <row r="304" spans="1:14" x14ac:dyDescent="0.25">
      <c r="A304" s="31"/>
      <c r="B304" s="1"/>
      <c r="C304" s="11"/>
      <c r="D304" s="8"/>
      <c r="E304" s="10"/>
      <c r="G304" s="10"/>
      <c r="I304" s="10"/>
      <c r="K304" s="10"/>
      <c r="L304" s="9"/>
      <c r="M304" s="10"/>
      <c r="N304" s="9"/>
    </row>
    <row r="305" spans="1:14" x14ac:dyDescent="0.25">
      <c r="A305" s="31"/>
      <c r="B305" s="2"/>
      <c r="C305" s="9"/>
      <c r="D305" s="9"/>
      <c r="E305" s="8"/>
      <c r="G305" s="8"/>
      <c r="I305" s="8"/>
      <c r="K305" s="8"/>
      <c r="L305" s="8"/>
      <c r="M305" s="8"/>
      <c r="N305" s="8"/>
    </row>
    <row r="306" spans="1:14" x14ac:dyDescent="0.25">
      <c r="A306" s="31"/>
      <c r="B306" s="1"/>
      <c r="C306" s="8"/>
      <c r="D306" s="8"/>
      <c r="E306" s="9"/>
      <c r="G306" s="9"/>
      <c r="I306" s="9"/>
      <c r="K306" s="9"/>
      <c r="L306" s="9"/>
      <c r="M306" s="9"/>
      <c r="N306" s="9"/>
    </row>
    <row r="307" spans="1:14" x14ac:dyDescent="0.25">
      <c r="A307" s="31"/>
      <c r="B307" s="2" t="s">
        <v>5</v>
      </c>
      <c r="C307" s="4">
        <f>SUM(C299:C306)</f>
        <v>0</v>
      </c>
      <c r="D307" s="2"/>
      <c r="E307" s="4">
        <f>SUM(E299:E306)</f>
        <v>0</v>
      </c>
      <c r="G307" s="4">
        <f>SUM(G299:G306)</f>
        <v>0</v>
      </c>
      <c r="I307" s="4">
        <f>SUM(I299:I306)</f>
        <v>0</v>
      </c>
      <c r="K307" s="4">
        <f>SUM(K299:K306)</f>
        <v>0</v>
      </c>
      <c r="L307" s="17"/>
      <c r="M307" s="4">
        <f>SUM(M299:M306)</f>
        <v>0</v>
      </c>
      <c r="N307" s="17"/>
    </row>
    <row r="308" spans="1:14" x14ac:dyDescent="0.25">
      <c r="A308" s="31"/>
      <c r="B308" s="1" t="s">
        <v>7</v>
      </c>
      <c r="C308" s="5"/>
      <c r="D308" s="1"/>
      <c r="E308" s="5"/>
      <c r="G308" s="5"/>
      <c r="I308" s="5"/>
      <c r="K308" s="5"/>
      <c r="L308" s="15"/>
      <c r="M308" s="5"/>
      <c r="N308" s="15"/>
    </row>
    <row r="309" spans="1:14" x14ac:dyDescent="0.25">
      <c r="A309" s="31"/>
      <c r="B309" s="2" t="s">
        <v>8</v>
      </c>
      <c r="C309" s="6">
        <f>C307-C308</f>
        <v>0</v>
      </c>
      <c r="D309" s="2"/>
      <c r="E309" s="6">
        <f>E307-E308</f>
        <v>0</v>
      </c>
      <c r="G309" s="6">
        <f>G307-G308</f>
        <v>0</v>
      </c>
      <c r="I309" s="6">
        <f>I307-I308</f>
        <v>0</v>
      </c>
      <c r="K309" s="6">
        <f>K307-K308</f>
        <v>0</v>
      </c>
      <c r="L309" s="16"/>
      <c r="M309" s="6">
        <f>M307-M308</f>
        <v>0</v>
      </c>
      <c r="N309" s="16"/>
    </row>
    <row r="310" spans="1:14" x14ac:dyDescent="0.25">
      <c r="A310" s="33">
        <v>46171</v>
      </c>
      <c r="B310" s="2" t="s">
        <v>3</v>
      </c>
      <c r="C310" s="9"/>
      <c r="E310" s="8"/>
      <c r="G310" s="8"/>
      <c r="I310" s="8"/>
      <c r="K310" s="8"/>
      <c r="M310" s="8"/>
    </row>
    <row r="311" spans="1:14" x14ac:dyDescent="0.25">
      <c r="A311" s="31"/>
      <c r="B311" s="1"/>
      <c r="C311" s="8"/>
      <c r="E311" s="9"/>
      <c r="G311" s="9"/>
      <c r="I311" s="9"/>
      <c r="K311" s="9"/>
      <c r="M311" s="9"/>
    </row>
    <row r="312" spans="1:14" x14ac:dyDescent="0.25">
      <c r="A312" s="31"/>
      <c r="B312" s="2"/>
      <c r="C312" s="9"/>
      <c r="E312" s="8"/>
      <c r="G312" s="8"/>
      <c r="I312" s="8"/>
      <c r="K312" s="8"/>
      <c r="M312" s="8"/>
    </row>
    <row r="313" spans="1:14" x14ac:dyDescent="0.25">
      <c r="A313" s="31"/>
      <c r="B313" s="1"/>
      <c r="C313" s="11"/>
      <c r="E313" s="10"/>
      <c r="G313" s="10"/>
      <c r="I313" s="10"/>
      <c r="K313" s="10"/>
      <c r="M313" s="10"/>
    </row>
    <row r="314" spans="1:14" x14ac:dyDescent="0.25">
      <c r="A314" s="31"/>
      <c r="B314" s="2"/>
      <c r="C314" s="9"/>
      <c r="E314" s="8"/>
      <c r="G314" s="8"/>
      <c r="I314" s="8"/>
      <c r="K314" s="8"/>
      <c r="M314" s="8"/>
    </row>
    <row r="315" spans="1:14" x14ac:dyDescent="0.25">
      <c r="A315" s="31"/>
      <c r="B315" s="1"/>
      <c r="C315" s="11"/>
      <c r="E315" s="10"/>
      <c r="G315" s="10"/>
      <c r="I315" s="10"/>
      <c r="K315" s="10"/>
      <c r="M315" s="10"/>
    </row>
    <row r="316" spans="1:14" x14ac:dyDescent="0.25">
      <c r="A316" s="31"/>
      <c r="B316" s="2"/>
      <c r="C316" s="9"/>
      <c r="E316" s="8"/>
      <c r="G316" s="8"/>
      <c r="I316" s="8"/>
      <c r="K316" s="8"/>
      <c r="M316" s="8"/>
    </row>
    <row r="317" spans="1:14" x14ac:dyDescent="0.25">
      <c r="A317" s="31"/>
      <c r="B317" s="1"/>
      <c r="C317" s="8"/>
      <c r="E317" s="9"/>
      <c r="G317" s="9"/>
      <c r="I317" s="9"/>
      <c r="K317" s="9"/>
      <c r="M317" s="9"/>
    </row>
    <row r="318" spans="1:14" x14ac:dyDescent="0.25">
      <c r="A318" s="31"/>
      <c r="B318" s="2" t="s">
        <v>5</v>
      </c>
      <c r="C318" s="4">
        <f>SUM(C310:C317)</f>
        <v>0</v>
      </c>
      <c r="E318" s="4">
        <f>SUM(E310:E317)</f>
        <v>0</v>
      </c>
      <c r="G318" s="4">
        <f>SUM(G310:G317)</f>
        <v>0</v>
      </c>
      <c r="I318" s="4">
        <f>SUM(I310:I317)</f>
        <v>0</v>
      </c>
      <c r="K318" s="4">
        <f>SUM(K310:K317)</f>
        <v>0</v>
      </c>
      <c r="M318" s="4">
        <f>SUM(M310:M317)</f>
        <v>0</v>
      </c>
    </row>
    <row r="319" spans="1:14" x14ac:dyDescent="0.25">
      <c r="A319" s="31"/>
      <c r="B319" s="1" t="s">
        <v>7</v>
      </c>
      <c r="C319" s="5"/>
      <c r="E319" s="5"/>
      <c r="G319" s="5"/>
      <c r="I319" s="5"/>
      <c r="K319" s="5"/>
      <c r="M319" s="5"/>
    </row>
    <row r="320" spans="1:14" x14ac:dyDescent="0.25">
      <c r="A320" s="31"/>
      <c r="B320" s="2" t="s">
        <v>8</v>
      </c>
      <c r="C320" s="6">
        <f>C318-C319</f>
        <v>0</v>
      </c>
      <c r="E320" s="6">
        <f>E318-E319</f>
        <v>0</v>
      </c>
      <c r="G320" s="6">
        <f>G318-G319</f>
        <v>0</v>
      </c>
      <c r="I320" s="6">
        <f>I318-I319</f>
        <v>0</v>
      </c>
      <c r="K320" s="6">
        <f>K318-K319</f>
        <v>0</v>
      </c>
      <c r="M320" s="6">
        <f>M318-M319</f>
        <v>0</v>
      </c>
    </row>
    <row r="321" spans="1:13" x14ac:dyDescent="0.25">
      <c r="A321" s="32">
        <v>46172</v>
      </c>
      <c r="B321" s="1" t="s">
        <v>3</v>
      </c>
      <c r="C321" s="8"/>
      <c r="E321" s="8"/>
      <c r="G321" s="8"/>
      <c r="I321" s="8"/>
      <c r="K321" s="8"/>
      <c r="M321" s="8"/>
    </row>
    <row r="322" spans="1:13" x14ac:dyDescent="0.25">
      <c r="A322" s="31"/>
      <c r="B322" s="2"/>
      <c r="C322" s="9"/>
      <c r="E322" s="9"/>
      <c r="G322" s="9"/>
      <c r="I322" s="9"/>
      <c r="K322" s="9"/>
      <c r="M322" s="9"/>
    </row>
    <row r="323" spans="1:13" x14ac:dyDescent="0.25">
      <c r="A323" s="31"/>
      <c r="B323" s="1"/>
      <c r="C323" s="8"/>
      <c r="E323" s="8"/>
      <c r="G323" s="8"/>
      <c r="I323" s="8"/>
      <c r="K323" s="8"/>
      <c r="M323" s="8"/>
    </row>
    <row r="324" spans="1:13" x14ac:dyDescent="0.25">
      <c r="A324" s="31"/>
      <c r="B324" s="2"/>
      <c r="C324" s="10"/>
      <c r="E324" s="10"/>
      <c r="G324" s="10"/>
      <c r="I324" s="10"/>
      <c r="K324" s="10"/>
      <c r="M324" s="10"/>
    </row>
    <row r="325" spans="1:13" x14ac:dyDescent="0.25">
      <c r="A325" s="31"/>
      <c r="B325" s="1"/>
      <c r="C325" s="8"/>
      <c r="E325" s="8"/>
      <c r="G325" s="8"/>
      <c r="I325" s="8"/>
      <c r="K325" s="8"/>
      <c r="M325" s="8"/>
    </row>
    <row r="326" spans="1:13" x14ac:dyDescent="0.25">
      <c r="A326" s="31"/>
      <c r="B326" s="2"/>
      <c r="C326" s="10"/>
      <c r="E326" s="10"/>
      <c r="G326" s="10"/>
      <c r="I326" s="10"/>
      <c r="K326" s="10"/>
      <c r="M326" s="10"/>
    </row>
    <row r="327" spans="1:13" x14ac:dyDescent="0.25">
      <c r="A327" s="31"/>
      <c r="B327" s="1"/>
      <c r="C327" s="8"/>
      <c r="E327" s="8"/>
      <c r="G327" s="8"/>
      <c r="I327" s="8"/>
      <c r="K327" s="8"/>
      <c r="M327" s="8"/>
    </row>
    <row r="328" spans="1:13" x14ac:dyDescent="0.25">
      <c r="A328" s="31"/>
      <c r="B328" s="2"/>
      <c r="C328" s="9"/>
      <c r="E328" s="9"/>
      <c r="G328" s="9"/>
      <c r="I328" s="9"/>
      <c r="K328" s="9"/>
      <c r="M328" s="9"/>
    </row>
    <row r="329" spans="1:13" x14ac:dyDescent="0.25">
      <c r="A329" s="31"/>
      <c r="B329" s="1" t="s">
        <v>5</v>
      </c>
      <c r="C329" s="4">
        <f>SUM(C321:C328)</f>
        <v>0</v>
      </c>
      <c r="E329" s="4">
        <f>SUM(E321:E328)</f>
        <v>0</v>
      </c>
      <c r="G329" s="4">
        <f>SUM(G321:G328)</f>
        <v>0</v>
      </c>
      <c r="I329" s="4">
        <f>SUM(I321:I328)</f>
        <v>0</v>
      </c>
      <c r="K329" s="4">
        <f>SUM(K321:K328)</f>
        <v>0</v>
      </c>
      <c r="M329" s="4">
        <f>SUM(M321:M328)</f>
        <v>0</v>
      </c>
    </row>
    <row r="330" spans="1:13" x14ac:dyDescent="0.25">
      <c r="A330" s="31"/>
      <c r="B330" s="2" t="s">
        <v>7</v>
      </c>
      <c r="C330" s="5"/>
      <c r="E330" s="5"/>
      <c r="G330" s="5"/>
      <c r="I330" s="5"/>
      <c r="K330" s="5"/>
      <c r="M330" s="5"/>
    </row>
    <row r="331" spans="1:13" x14ac:dyDescent="0.25">
      <c r="A331" s="31"/>
      <c r="B331" s="1" t="s">
        <v>8</v>
      </c>
      <c r="C331" s="6">
        <f>C329-C330</f>
        <v>0</v>
      </c>
      <c r="E331" s="6">
        <f>E329-E330</f>
        <v>0</v>
      </c>
      <c r="G331" s="6">
        <f>G329-G330</f>
        <v>0</v>
      </c>
      <c r="I331" s="6">
        <f>I329-I330</f>
        <v>0</v>
      </c>
      <c r="K331" s="6">
        <f>K329-K330</f>
        <v>0</v>
      </c>
      <c r="M331" s="6">
        <f>M329-M330</f>
        <v>0</v>
      </c>
    </row>
  </sheetData>
  <mergeCells count="30">
    <mergeCell ref="A222:A232"/>
    <mergeCell ref="A310:A320"/>
    <mergeCell ref="A321:A331"/>
    <mergeCell ref="A233:A243"/>
    <mergeCell ref="A244:A254"/>
    <mergeCell ref="A255:A265"/>
    <mergeCell ref="A266:A276"/>
    <mergeCell ref="A277:A287"/>
    <mergeCell ref="A288:A298"/>
    <mergeCell ref="A299:A309"/>
    <mergeCell ref="A167:A174"/>
    <mergeCell ref="A178:A188"/>
    <mergeCell ref="A189:A199"/>
    <mergeCell ref="A200:A210"/>
    <mergeCell ref="A211:A221"/>
    <mergeCell ref="A112:A119"/>
    <mergeCell ref="A123:A130"/>
    <mergeCell ref="A134:A141"/>
    <mergeCell ref="A145:A152"/>
    <mergeCell ref="A156:A163"/>
    <mergeCell ref="A57:A64"/>
    <mergeCell ref="A68:A75"/>
    <mergeCell ref="A79:A86"/>
    <mergeCell ref="A90:A97"/>
    <mergeCell ref="A101:A108"/>
    <mergeCell ref="A2:A9"/>
    <mergeCell ref="A13:A20"/>
    <mergeCell ref="A24:A31"/>
    <mergeCell ref="A35:A42"/>
    <mergeCell ref="A46:A53"/>
  </mergeCells>
  <pageMargins left="0.7" right="0.7" top="0.75" bottom="0.75" header="0.3" footer="0.3"/>
  <legacyDrawing r:id="rId1"/>
  <tableParts count="4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Lorenze Dumalaon</cp:lastModifiedBy>
  <dcterms:created xsi:type="dcterms:W3CDTF">2026-09-17T09:47:54Z</dcterms:created>
  <dcterms:modified xsi:type="dcterms:W3CDTF">2026-09-17T09:47:54Z</dcterms:modified>
</cp:coreProperties>
</file>